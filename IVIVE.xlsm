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D338725F-E2BE-4AE7-94C1-5CECFF73ED5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VIVE for CL" sheetId="7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7" l="1"/>
  <c r="F4" i="7" l="1"/>
  <c r="Y17" i="7"/>
  <c r="X17" i="7"/>
  <c r="AA17" i="7"/>
  <c r="Z17" i="7"/>
  <c r="AA16" i="7"/>
  <c r="Z16" i="7"/>
  <c r="Y16" i="7"/>
  <c r="X16" i="7"/>
  <c r="AA15" i="7"/>
  <c r="Z15" i="7"/>
  <c r="Y15" i="7"/>
  <c r="X15" i="7"/>
  <c r="AA14" i="7"/>
  <c r="Z14" i="7"/>
  <c r="Y14" i="7"/>
  <c r="X14" i="7"/>
  <c r="F12" i="3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S22" i="7"/>
  <c r="Q22" i="7"/>
  <c r="J22" i="7"/>
  <c r="K22" i="7" s="1"/>
  <c r="T22" i="7" s="1"/>
  <c r="F22" i="7"/>
  <c r="G22" i="7" s="1"/>
  <c r="R22" i="7" s="1"/>
  <c r="S21" i="7"/>
  <c r="Q21" i="7"/>
  <c r="J21" i="7"/>
  <c r="K21" i="7" s="1"/>
  <c r="T21" i="7" s="1"/>
  <c r="F21" i="7"/>
  <c r="G21" i="7" s="1"/>
  <c r="R21" i="7" s="1"/>
  <c r="S20" i="7"/>
  <c r="Q20" i="7"/>
  <c r="J20" i="7"/>
  <c r="K20" i="7" s="1"/>
  <c r="T20" i="7" s="1"/>
  <c r="F20" i="7"/>
  <c r="G20" i="7" s="1"/>
  <c r="R20" i="7" s="1"/>
  <c r="S19" i="7"/>
  <c r="Q19" i="7"/>
  <c r="J19" i="7"/>
  <c r="K19" i="7" s="1"/>
  <c r="T19" i="7" s="1"/>
  <c r="F19" i="7"/>
  <c r="G19" i="7" s="1"/>
  <c r="R19" i="7" s="1"/>
  <c r="S18" i="7"/>
  <c r="Q18" i="7"/>
  <c r="J18" i="7"/>
  <c r="K18" i="7" s="1"/>
  <c r="T18" i="7" s="1"/>
  <c r="F18" i="7"/>
  <c r="G18" i="7" s="1"/>
  <c r="R18" i="7" s="1"/>
  <c r="S17" i="7"/>
  <c r="Q17" i="7"/>
  <c r="J17" i="7"/>
  <c r="K17" i="7" s="1"/>
  <c r="T17" i="7" s="1"/>
  <c r="F17" i="7"/>
  <c r="G17" i="7" s="1"/>
  <c r="R17" i="7" s="1"/>
  <c r="S16" i="7"/>
  <c r="Q16" i="7"/>
  <c r="J16" i="7"/>
  <c r="K16" i="7" s="1"/>
  <c r="T16" i="7" s="1"/>
  <c r="F16" i="7"/>
  <c r="G16" i="7" s="1"/>
  <c r="R16" i="7" s="1"/>
  <c r="S15" i="7"/>
  <c r="Q15" i="7"/>
  <c r="J15" i="7"/>
  <c r="K15" i="7" s="1"/>
  <c r="T15" i="7" s="1"/>
  <c r="F15" i="7"/>
  <c r="G15" i="7" s="1"/>
  <c r="R15" i="7" s="1"/>
  <c r="S14" i="7"/>
  <c r="Q14" i="7"/>
  <c r="J14" i="7"/>
  <c r="K14" i="7" s="1"/>
  <c r="T14" i="7" s="1"/>
  <c r="F14" i="7"/>
  <c r="G14" i="7" s="1"/>
  <c r="R14" i="7" s="1"/>
  <c r="S13" i="7"/>
  <c r="Q13" i="7"/>
  <c r="J13" i="7"/>
  <c r="K13" i="7" s="1"/>
  <c r="T13" i="7" s="1"/>
  <c r="F13" i="7"/>
  <c r="G13" i="7" s="1"/>
  <c r="R13" i="7" s="1"/>
  <c r="S8" i="7"/>
  <c r="Z8" i="7" s="1"/>
  <c r="Q8" i="7"/>
  <c r="X8" i="7" s="1"/>
  <c r="J8" i="7"/>
  <c r="K8" i="7" s="1"/>
  <c r="T8" i="7" s="1"/>
  <c r="AA8" i="7" s="1"/>
  <c r="F8" i="7"/>
  <c r="G8" i="7" s="1"/>
  <c r="R8" i="7" s="1"/>
  <c r="Y8" i="7" s="1"/>
  <c r="S7" i="7"/>
  <c r="Z7" i="7" s="1"/>
  <c r="Q7" i="7"/>
  <c r="X7" i="7" s="1"/>
  <c r="J7" i="7"/>
  <c r="K7" i="7" s="1"/>
  <c r="T7" i="7" s="1"/>
  <c r="AA7" i="7" s="1"/>
  <c r="F7" i="7"/>
  <c r="G7" i="7" s="1"/>
  <c r="R7" i="7" s="1"/>
  <c r="Y7" i="7" s="1"/>
  <c r="S6" i="7"/>
  <c r="Z6" i="7" s="1"/>
  <c r="Q6" i="7"/>
  <c r="X6" i="7" s="1"/>
  <c r="J6" i="7"/>
  <c r="K6" i="7" s="1"/>
  <c r="T6" i="7" s="1"/>
  <c r="AA6" i="7" s="1"/>
  <c r="F6" i="7"/>
  <c r="G6" i="7" s="1"/>
  <c r="R6" i="7" s="1"/>
  <c r="Y6" i="7" s="1"/>
  <c r="S5" i="7"/>
  <c r="Z5" i="7" s="1"/>
  <c r="Q5" i="7"/>
  <c r="J5" i="7"/>
  <c r="K5" i="7" s="1"/>
  <c r="T5" i="7" s="1"/>
  <c r="AA5" i="7" s="1"/>
  <c r="F5" i="7"/>
  <c r="G5" i="7" s="1"/>
  <c r="R5" i="7" s="1"/>
  <c r="Y5" i="7" s="1"/>
  <c r="S4" i="7"/>
  <c r="Q4" i="7"/>
  <c r="J4" i="7"/>
  <c r="K4" i="7" s="1"/>
  <c r="T4" i="7" s="1"/>
  <c r="G4" i="7"/>
  <c r="R4" i="7" s="1"/>
  <c r="K20" i="8" l="1"/>
  <c r="K21" i="8"/>
  <c r="K22" i="8"/>
  <c r="K23" i="8"/>
  <c r="H44" i="2"/>
  <c r="G44" i="2" s="1"/>
  <c r="F44" i="2" s="1"/>
  <c r="H28" i="2"/>
  <c r="G28" i="2" s="1"/>
  <c r="F28" i="2" s="1"/>
  <c r="H29" i="2"/>
  <c r="G29" i="2" s="1"/>
</calcChain>
</file>

<file path=xl/sharedStrings.xml><?xml version="1.0" encoding="utf-8"?>
<sst xmlns="http://schemas.openxmlformats.org/spreadsheetml/2006/main" count="143" uniqueCount="68">
  <si>
    <t>Mxsomes</t>
  </si>
  <si>
    <t>Hep</t>
  </si>
  <si>
    <t>Measured values</t>
  </si>
  <si>
    <t>Predicted human CL</t>
  </si>
  <si>
    <t>IVIVC</t>
  </si>
  <si>
    <t>Compound ID</t>
  </si>
  <si>
    <t>clogP</t>
  </si>
  <si>
    <t>Species</t>
  </si>
  <si>
    <t>T1/2 (min)</t>
  </si>
  <si>
    <t>CLint</t>
  </si>
  <si>
    <t>fu, inc</t>
  </si>
  <si>
    <t>CLint,u</t>
  </si>
  <si>
    <t>fu, p</t>
  </si>
  <si>
    <t>MPPGL (mg/g)</t>
  </si>
  <si>
    <t>HPGL (million/g)</t>
  </si>
  <si>
    <t>Qh (mL/min/kg)</t>
  </si>
  <si>
    <t>Liver (g/kg)</t>
  </si>
  <si>
    <t>CLh pred. Clint</t>
  </si>
  <si>
    <t>CLh pred. Clint, u</t>
  </si>
  <si>
    <t>CL,obs (mL/min/kg)</t>
  </si>
  <si>
    <t>ISM020-235</t>
  </si>
  <si>
    <t>h</t>
  </si>
  <si>
    <t>m</t>
  </si>
  <si>
    <t>r</t>
  </si>
  <si>
    <t>d</t>
  </si>
  <si>
    <t>c</t>
  </si>
  <si>
    <t>logD</t>
  </si>
  <si>
    <t>ISM024-155</t>
  </si>
  <si>
    <t>input data</t>
  </si>
  <si>
    <t>output data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</si>
  <si>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</si>
  <si>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</si>
  <si>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</si>
  <si>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</si>
  <si>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</si>
  <si>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</si>
  <si>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</si>
  <si>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</si>
  <si>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</si>
  <si>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Mouse</t>
  </si>
  <si>
    <t>Rat</t>
  </si>
  <si>
    <t>Dog</t>
  </si>
  <si>
    <t>Monkey</t>
  </si>
  <si>
    <t>Human</t>
  </si>
  <si>
    <t>Log BW</t>
  </si>
  <si>
    <t>log CL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</si>
  <si>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</si>
  <si>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</si>
  <si>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</si>
  <si>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</si>
  <si>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</si>
  <si>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</si>
  <si>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</si>
  <si>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</si>
  <si>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</si>
  <si>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</si>
  <si>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</si>
  <si>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</si>
  <si>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</si>
  <si>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</si>
  <si>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</si>
  <si>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</si>
  <si>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</si>
  <si>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</si>
  <si>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_M CL pred.</t>
  </si>
  <si>
    <t>_M Clpred. u</t>
  </si>
  <si>
    <t>_H CL pred.</t>
  </si>
  <si>
    <t>_H Clpred.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</si>
</sst>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0"/>
    <numFmt numFmtId="177" formatCode="0.0000"/>
    <numFmt numFmtId="178" formatCode="0.00_);[Red]\(0.00\)"/>
    <numFmt numFmtId="180" formatCode="0.000000"/>
    <numFmt numFmtId="181" formatCode="0.0"/>
    <numFmt numFmtId="182" formatCode="0.00000000"/>
    <numFmt numFmtId="186" formatCode="0.0000_);[Red]\(0.0000\)"/>
    <numFmt numFmtId="187" formatCode="0.0_);[Red]\(0.0\)"/>
  </numFmts>
  <fonts count="1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0"/>
      <name val="Arial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99FF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9" fillId="0" borderId="0"/>
  </cellStyleXfs>
  <cellXfs count="14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1" fillId="2" borderId="0" xfId="0" applyFont="1" applyFill="1" applyProtection="1">
      <alignment vertical="center"/>
      <protection locked="0"/>
    </xf>
    <xf numFmtId="0" fontId="1" fillId="3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6" xfId="0" applyBorder="1" applyProtection="1">
      <alignment vertical="center"/>
      <protection locked="0"/>
    </xf>
    <xf numFmtId="0" fontId="1" fillId="0" borderId="0" xfId="0" applyFont="1" applyProtection="1">
      <alignment vertical="center"/>
      <protection locked="0"/>
    </xf>
    <xf numFmtId="0" fontId="1" fillId="0" borderId="12" xfId="0" applyFont="1" applyBorder="1" applyProtection="1">
      <alignment vertical="center"/>
      <protection locked="0"/>
    </xf>
    <xf numFmtId="0" fontId="1" fillId="4" borderId="12" xfId="0" applyFont="1" applyFill="1" applyBorder="1" applyProtection="1">
      <alignment vertical="center"/>
      <protection locked="0"/>
    </xf>
    <xf numFmtId="0" fontId="1" fillId="4" borderId="14" xfId="0" applyFont="1" applyFill="1" applyBorder="1" applyProtection="1">
      <alignment vertical="center"/>
      <protection locked="0"/>
    </xf>
    <xf numFmtId="0" fontId="1" fillId="5" borderId="12" xfId="0" applyFont="1" applyFill="1" applyBorder="1" applyProtection="1">
      <alignment vertical="center"/>
      <protection locked="0"/>
    </xf>
    <xf numFmtId="0" fontId="1" fillId="0" borderId="2" xfId="0" applyFont="1" applyBorder="1" applyProtection="1">
      <alignment vertical="center"/>
      <protection locked="0"/>
    </xf>
    <xf numFmtId="0" fontId="1" fillId="0" borderId="3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8" fillId="6" borderId="0" xfId="0" applyFont="1" applyFill="1" applyAlignment="1" applyProtection="1">
      <alignment horizontal="center" vertical="top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8" fillId="7" borderId="0" xfId="0" applyFont="1" applyFill="1" applyAlignment="1" applyProtection="1">
      <alignment horizontal="center" vertical="center" wrapText="1"/>
      <protection locked="0"/>
    </xf>
    <xf numFmtId="0" fontId="1" fillId="0" borderId="1" xfId="0" applyFont="1" applyBorder="1" applyProtection="1">
      <alignment vertical="center"/>
      <protection locked="0"/>
    </xf>
    <xf numFmtId="0" fontId="1" fillId="0" borderId="14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181" fontId="0" fillId="0" borderId="14" xfId="0" applyNumberFormat="1" applyBorder="1" applyProtection="1">
      <alignment vertical="center"/>
      <protection locked="0"/>
    </xf>
    <xf numFmtId="0" fontId="8" fillId="6" borderId="14" xfId="0" applyFont="1" applyFill="1" applyBorder="1" applyAlignment="1" applyProtection="1">
      <alignment horizontal="center" vertical="center" wrapText="1"/>
      <protection locked="0"/>
    </xf>
    <xf numFmtId="181" fontId="0" fillId="0" borderId="0" xfId="0" applyNumberFormat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10" xfId="0" applyBorder="1" applyProtection="1">
      <alignment vertical="center"/>
      <protection locked="0"/>
    </xf>
    <xf numFmtId="0" fontId="1" fillId="5" borderId="14" xfId="0" applyFont="1" applyFill="1" applyBorder="1" applyProtection="1">
      <alignment vertical="center"/>
      <protection locked="0"/>
    </xf>
    <xf numFmtId="0" fontId="1" fillId="0" borderId="15" xfId="0" applyFont="1" applyBorder="1" applyProtection="1">
      <alignment vertical="center"/>
      <protection locked="0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177" fontId="0" fillId="2" borderId="0" xfId="0" applyNumberFormat="1" applyFill="1" applyAlignment="1" applyProtection="1">
      <alignment horizontal="center" vertical="center"/>
      <protection locked="0"/>
    </xf>
    <xf numFmtId="177" fontId="2" fillId="2" borderId="0" xfId="0" applyNumberFormat="1" applyFont="1" applyFill="1" applyAlignment="1" applyProtection="1">
      <alignment horizontal="center" vertical="center"/>
      <protection locked="0"/>
    </xf>
    <xf numFmtId="0" fontId="0" fillId="0" borderId="14" xfId="0" applyBorder="1">
      <alignment vertical="center"/>
    </xf>
    <xf numFmtId="0" fontId="0" fillId="0" borderId="5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1" fillId="8" borderId="13" xfId="0" applyFont="1" applyFill="1" applyBorder="1" applyProtection="1">
      <alignment vertical="center"/>
      <protection locked="0"/>
    </xf>
    <xf numFmtId="0" fontId="1" fillId="9" borderId="13" xfId="0" applyFont="1" applyFill="1" applyBorder="1" applyProtection="1">
      <alignment vertical="center"/>
      <protection locked="0"/>
    </xf>
    <xf numFmtId="0" fontId="1" fillId="0" borderId="4" xfId="0" applyFont="1" applyBorder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6" fontId="1" fillId="0" borderId="0" xfId="0" applyNumberFormat="1" applyFont="1" applyProtection="1">
      <alignment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178" fontId="0" fillId="0" borderId="0" xfId="0" applyNumberFormat="1" applyProtection="1">
      <alignment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87" fontId="0" fillId="0" borderId="0" xfId="0" applyNumberFormat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1" fillId="5" borderId="13" xfId="0" applyFont="1" applyFill="1" applyBorder="1" applyProtection="1">
      <alignment vertical="center"/>
      <protection locked="0"/>
    </xf>
    <xf numFmtId="0" fontId="1" fillId="0" borderId="13" xfId="0" applyFont="1" applyBorder="1" applyProtection="1">
      <alignment vertical="center"/>
      <protection locked="0"/>
    </xf>
    <xf numFmtId="186" fontId="0" fillId="0" borderId="12" xfId="0" applyNumberFormat="1" applyBorder="1" applyProtection="1">
      <alignment vertical="center"/>
      <protection locked="0"/>
    </xf>
    <xf numFmtId="186" fontId="0" fillId="0" borderId="14" xfId="0" applyNumberFormat="1" applyBorder="1" applyProtection="1">
      <alignment vertical="center"/>
      <protection locked="0"/>
    </xf>
    <xf numFmtId="186" fontId="0" fillId="0" borderId="13" xfId="0" applyNumberFormat="1" applyBorder="1" applyProtection="1">
      <alignment vertical="center"/>
      <protection locked="0"/>
    </xf>
    <xf numFmtId="0" fontId="0" fillId="0" borderId="13" xfId="0" applyBorder="1" applyProtection="1">
      <alignment vertical="center"/>
      <protection locked="0"/>
    </xf>
    <xf numFmtId="0" fontId="4" fillId="3" borderId="13" xfId="0" applyFont="1" applyFill="1" applyBorder="1" applyAlignment="1" applyProtection="1">
      <alignment horizontal="center" vertical="center"/>
      <protection locked="0"/>
    </xf>
    <xf numFmtId="186" fontId="0" fillId="0" borderId="6" xfId="0" applyNumberFormat="1" applyBorder="1" applyProtection="1">
      <alignment vertical="center"/>
      <protection locked="0"/>
    </xf>
    <xf numFmtId="186" fontId="0" fillId="0" borderId="7" xfId="0" applyNumberFormat="1" applyBorder="1" applyProtection="1">
      <alignment vertical="center"/>
      <protection locked="0"/>
    </xf>
    <xf numFmtId="0" fontId="0" fillId="2" borderId="7" xfId="0" applyFill="1" applyBorder="1" applyProtection="1">
      <alignment vertical="center"/>
      <protection locked="0"/>
    </xf>
    <xf numFmtId="0" fontId="4" fillId="0" borderId="7" xfId="0" applyFont="1" applyBorder="1" applyAlignment="1" applyProtection="1">
      <alignment horizontal="right" vertical="center"/>
      <protection locked="0"/>
    </xf>
    <xf numFmtId="0" fontId="2" fillId="2" borderId="7" xfId="0" applyFont="1" applyFill="1" applyBorder="1" applyProtection="1">
      <alignment vertical="center"/>
      <protection locked="0"/>
    </xf>
    <xf numFmtId="186" fontId="2" fillId="0" borderId="7" xfId="0" applyNumberFormat="1" applyFont="1" applyBorder="1" applyProtection="1">
      <alignment vertical="center"/>
      <protection locked="0"/>
    </xf>
    <xf numFmtId="186" fontId="2" fillId="0" borderId="13" xfId="0" applyNumberFormat="1" applyFont="1" applyBorder="1" applyProtection="1">
      <alignment vertical="center"/>
      <protection locked="0"/>
    </xf>
    <xf numFmtId="0" fontId="2" fillId="0" borderId="13" xfId="0" applyFont="1" applyBorder="1" applyProtection="1">
      <alignment vertical="center"/>
      <protection locked="0"/>
    </xf>
    <xf numFmtId="0" fontId="4" fillId="0" borderId="13" xfId="0" applyFont="1" applyBorder="1" applyAlignment="1" applyProtection="1">
      <alignment horizontal="right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186" fontId="0" fillId="0" borderId="9" xfId="0" applyNumberFormat="1" applyBorder="1" applyProtection="1">
      <alignment vertical="center"/>
      <protection locked="0"/>
    </xf>
    <xf numFmtId="186" fontId="0" fillId="0" borderId="11" xfId="0" applyNumberForma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4" fillId="0" borderId="11" xfId="0" applyFont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A26"/>
  <sheetViews>
    <sheetView tabSelected="1" topLeftCell="F1" workbookViewId="0">
      <selection activeCell="Q17" sqref="Q17"/>
    </sheetView>
  </sheetViews>
  <sheetFormatPr defaultColWidth="9" defaultRowHeight="14"/>
  <cols>
    <col min="1" max="1" width="15.5" style="76" customWidth="1"/>
    <col min="2" max="2" width="11.33203125" style="76" customWidth="1"/>
    <col min="3" max="3" width="9" style="76"/>
    <col min="4" max="4" width="9.6640625" style="76" customWidth="1"/>
    <col min="5" max="7" width="8.6640625" style="76" customWidth="1"/>
    <col min="8" max="8" width="9.5" style="76" customWidth="1"/>
    <col min="9" max="12" width="8.6640625" style="76" customWidth="1"/>
    <col min="13" max="13" width="15.1640625" style="76" hidden="1" customWidth="1"/>
    <col min="14" max="14" width="15.6640625" style="76" hidden="1" customWidth="1"/>
    <col min="15" max="15" width="14.83203125" style="76" hidden="1" customWidth="1"/>
    <col min="16" max="16" width="12.1640625" style="76" hidden="1" customWidth="1"/>
    <col min="17" max="20" width="15.6640625" style="76" customWidth="1"/>
    <col min="21" max="21" width="18.9140625" style="76" customWidth="1"/>
    <col min="22" max="22" width="19.33203125" style="76" customWidth="1"/>
    <col min="23" max="16384" width="9" style="76"/>
  </cols>
  <sheetData>
    <row r="2" spans="1:27" s="79" customFormat="1">
      <c r="A2" s="80"/>
      <c r="B2" s="80"/>
      <c r="C2" s="80"/>
      <c r="D2" s="81" t="s">
        <v>0</v>
      </c>
      <c r="E2" s="82"/>
      <c r="F2" s="82"/>
      <c r="G2" s="82"/>
      <c r="H2" s="83" t="s">
        <v>1</v>
      </c>
      <c r="I2" s="101"/>
      <c r="J2" s="101"/>
      <c r="K2" s="101"/>
      <c r="L2" s="102"/>
      <c r="M2" s="80"/>
      <c r="N2" s="93"/>
      <c r="O2" s="93"/>
      <c r="P2" s="93"/>
      <c r="Q2" s="81" t="s">
        <v>0</v>
      </c>
      <c r="R2" s="82"/>
      <c r="S2" s="83" t="s">
        <v>1</v>
      </c>
      <c r="T2" s="83" t="s">
        <v>1</v>
      </c>
      <c r="U2" s="110" t="s">
        <v>2</v>
      </c>
      <c r="V2" s="111" t="s">
        <v>3</v>
      </c>
      <c r="X2" s="144" t="s">
        <v>4</v>
      </c>
      <c r="Y2" s="144"/>
      <c r="Z2" s="144"/>
      <c r="AA2" s="144"/>
    </row>
    <row r="3" spans="1:27" s="79" customFormat="1" ht="28">
      <c r="A3" s="84" t="s">
        <v>5</v>
      </c>
      <c r="B3" s="84" t="s">
        <v>6</v>
      </c>
      <c r="C3" s="84" t="s">
        <v>7</v>
      </c>
      <c r="D3" s="84" t="s">
        <v>8</v>
      </c>
      <c r="E3" s="85" t="s">
        <v>9</v>
      </c>
      <c r="F3" s="85" t="s">
        <v>10</v>
      </c>
      <c r="G3" s="85" t="s">
        <v>11</v>
      </c>
      <c r="H3" s="84" t="s">
        <v>8</v>
      </c>
      <c r="I3" s="85" t="s">
        <v>9</v>
      </c>
      <c r="J3" s="85" t="s">
        <v>10</v>
      </c>
      <c r="K3" s="85" t="s">
        <v>11</v>
      </c>
      <c r="L3" s="92" t="s">
        <v>12</v>
      </c>
      <c r="M3" s="103" t="s">
        <v>13</v>
      </c>
      <c r="N3" s="104" t="s">
        <v>14</v>
      </c>
      <c r="O3" s="104" t="s">
        <v>15</v>
      </c>
      <c r="P3" s="104" t="s">
        <v>16</v>
      </c>
      <c r="Q3" s="84" t="s">
        <v>17</v>
      </c>
      <c r="R3" s="85" t="s">
        <v>18</v>
      </c>
      <c r="S3" s="84" t="s">
        <v>17</v>
      </c>
      <c r="T3" s="112" t="s">
        <v>18</v>
      </c>
      <c r="U3" s="112" t="s">
        <v>19</v>
      </c>
      <c r="V3" s="112" t="s">
        <v>19</v>
      </c>
      <c r="X3" s="143" t="s">
        <v>64</v>
      </c>
      <c r="Y3" s="143" t="s">
        <v>65</v>
      </c>
      <c r="Z3" s="143" t="s">
        <v>66</v>
      </c>
      <c r="AA3" s="143" t="s">
        <v>67</v>
      </c>
    </row>
    <row r="4" spans="1:27">
      <c r="A4" s="76" t="s">
        <v>20</v>
      </c>
      <c r="B4" s="86"/>
      <c r="C4" s="76" t="s">
        <v>21</v>
      </c>
      <c r="D4" s="87"/>
      <c r="E4" s="88"/>
      <c r="F4" s="76">
        <f>1/(1+1*(10^(0.56*B4-1.41)))</f>
        <v>0.96255236746355533</v>
      </c>
      <c r="G4" s="76">
        <f>E4/F4</f>
        <v>0</v>
      </c>
      <c r="H4" s="89"/>
      <c r="I4" s="89"/>
      <c r="J4" s="76">
        <f>1/(1+10^(0.56*B4-1.41))</f>
        <v>0.96255236746355533</v>
      </c>
      <c r="K4" s="76">
        <f>I4/J4</f>
        <v>0</v>
      </c>
      <c r="L4" s="77"/>
      <c r="M4">
        <v>45</v>
      </c>
      <c r="N4">
        <v>139</v>
      </c>
      <c r="O4">
        <v>20.7</v>
      </c>
      <c r="P4">
        <v>25.7</v>
      </c>
      <c r="Q4" s="113">
        <f>(E4*M4*P4*L4*0.001*O4)/((E4*M4*P4*L4*0.001)+O4)</f>
        <v>0</v>
      </c>
      <c r="R4" s="113">
        <f>(0.001*G4*M4*P4*L4*O4)/((0.001*G4*M4*P4*L4)+O4)</f>
        <v>0</v>
      </c>
      <c r="S4" s="113">
        <f>(I4*N4*P4*L4*O4*0.001)/((0.001*I4*L4*N4*P4)+O4)</f>
        <v>0</v>
      </c>
      <c r="T4" s="114">
        <f>(K4*0.001*N4*L4*O4*P4)/((0.001*K4*L4*N4*P4)+O4)</f>
        <v>0</v>
      </c>
      <c r="V4" s="115"/>
    </row>
    <row r="5" spans="1:27">
      <c r="B5" s="86"/>
      <c r="C5" s="76" t="s">
        <v>22</v>
      </c>
      <c r="D5" s="87"/>
      <c r="E5" s="90"/>
      <c r="F5" s="76">
        <f>1/(1+1*(10^(0.56*B5-1.41)))</f>
        <v>0.96255236746355533</v>
      </c>
      <c r="G5" s="76">
        <f>E5/F5</f>
        <v>0</v>
      </c>
      <c r="H5" s="89"/>
      <c r="I5" s="89"/>
      <c r="J5" s="76">
        <f t="shared" ref="J5:J7" si="0">1/(1+10^(0.56*B5-1.41))</f>
        <v>0.96255236746355533</v>
      </c>
      <c r="K5" s="76">
        <f t="shared" ref="K5:K7" si="1">I5/J5</f>
        <v>0</v>
      </c>
      <c r="L5" s="77"/>
      <c r="M5">
        <v>45</v>
      </c>
      <c r="N5">
        <v>135</v>
      </c>
      <c r="O5">
        <v>90</v>
      </c>
      <c r="P5">
        <v>87.5</v>
      </c>
      <c r="Q5" s="113">
        <f t="shared" ref="Q5:Q8" si="2">(E5*M5*P5*L5*0.001*O5)/((E5*M5*P5*L5*0.001)+O5)</f>
        <v>0</v>
      </c>
      <c r="R5" s="116">
        <f t="shared" ref="R5:R8" si="3">(0.001*G5*M5*P5*L5*O5)/((0.001*G5*M5*P5*L5)+O5)</f>
        <v>0</v>
      </c>
      <c r="S5" s="113">
        <f t="shared" ref="S5:S7" si="4">(I5*N5*P5*L5*O5*0.001)/((0.001*I5*L5*N5*P5)+O5)</f>
        <v>0</v>
      </c>
      <c r="T5" s="114">
        <f>(K5*0.001*N5*L5*O5*P5)/((0.001*K5*L5*N5*P5)+O5)</f>
        <v>0</v>
      </c>
      <c r="U5" s="86"/>
      <c r="V5" s="117"/>
      <c r="X5" s="76" t="e">
        <f>U5/Q5</f>
        <v>#DIV/0!</v>
      </c>
      <c r="Y5" s="76" t="e">
        <f>U5/R5</f>
        <v>#DIV/0!</v>
      </c>
      <c r="Z5" s="76" t="e">
        <f>U5/S5</f>
        <v>#DIV/0!</v>
      </c>
      <c r="AA5" s="118" t="e">
        <f>U5/T5</f>
        <v>#DIV/0!</v>
      </c>
    </row>
    <row r="6" spans="1:27">
      <c r="B6" s="86"/>
      <c r="C6" s="76" t="s">
        <v>23</v>
      </c>
      <c r="D6" s="87"/>
      <c r="E6" s="88"/>
      <c r="F6" s="76">
        <f>1/(1+1*(10^(0.56*B6-1.41)))</f>
        <v>0.96255236746355533</v>
      </c>
      <c r="G6" s="76">
        <f t="shared" ref="G6:G8" si="5">E6/F6</f>
        <v>0</v>
      </c>
      <c r="H6" s="91"/>
      <c r="I6" s="89"/>
      <c r="J6" s="76">
        <f t="shared" si="0"/>
        <v>0.96255236746355533</v>
      </c>
      <c r="K6" s="76">
        <f t="shared" si="1"/>
        <v>0</v>
      </c>
      <c r="L6" s="105"/>
      <c r="M6">
        <v>45</v>
      </c>
      <c r="N6">
        <v>117</v>
      </c>
      <c r="O6">
        <v>55.2</v>
      </c>
      <c r="P6">
        <v>40</v>
      </c>
      <c r="Q6" s="113">
        <f t="shared" si="2"/>
        <v>0</v>
      </c>
      <c r="R6" s="119">
        <f t="shared" si="3"/>
        <v>0</v>
      </c>
      <c r="S6" s="113">
        <f t="shared" si="4"/>
        <v>0</v>
      </c>
      <c r="T6" s="114">
        <f>(K6*0.001*N6*L6*O6*P6)/((0.001*K6*L6*N6*P6)+O6)</f>
        <v>0</v>
      </c>
      <c r="U6" s="86"/>
      <c r="V6" s="117"/>
      <c r="X6" s="76" t="e">
        <f t="shared" ref="X6:X8" si="6">U6/Q6</f>
        <v>#DIV/0!</v>
      </c>
      <c r="Y6" s="76" t="e">
        <f t="shared" ref="Y6:Y8" si="7">U6/R6</f>
        <v>#DIV/0!</v>
      </c>
      <c r="Z6" s="76" t="e">
        <f t="shared" ref="Z6:Z8" si="8">U6/S6</f>
        <v>#DIV/0!</v>
      </c>
      <c r="AA6" s="118" t="e">
        <f>U6/T6</f>
        <v>#DIV/0!</v>
      </c>
    </row>
    <row r="7" spans="1:27">
      <c r="B7" s="86"/>
      <c r="C7" s="76" t="s">
        <v>24</v>
      </c>
      <c r="D7" s="87"/>
      <c r="E7" s="90"/>
      <c r="F7" s="76">
        <f>1/(1+1*(10^(0.56*B7-1.41)))</f>
        <v>0.96255236746355533</v>
      </c>
      <c r="G7" s="76">
        <f t="shared" si="5"/>
        <v>0</v>
      </c>
      <c r="H7" s="91"/>
      <c r="I7" s="89"/>
      <c r="J7" s="76">
        <f t="shared" si="0"/>
        <v>0.96255236746355533</v>
      </c>
      <c r="K7" s="76">
        <f t="shared" si="1"/>
        <v>0</v>
      </c>
      <c r="L7" s="106"/>
      <c r="M7">
        <v>45</v>
      </c>
      <c r="N7">
        <v>215</v>
      </c>
      <c r="O7">
        <v>30.9</v>
      </c>
      <c r="P7">
        <v>32</v>
      </c>
      <c r="Q7" s="113">
        <f t="shared" si="2"/>
        <v>0</v>
      </c>
      <c r="R7" s="119">
        <f t="shared" si="3"/>
        <v>0</v>
      </c>
      <c r="S7" s="113">
        <f t="shared" si="4"/>
        <v>0</v>
      </c>
      <c r="T7" s="114">
        <f>(K7*0.001*N7*L7*O7*P7)/((0.001*K7*L7*N7*P7)+O7)</f>
        <v>0</v>
      </c>
      <c r="U7" s="86"/>
      <c r="V7" s="117"/>
      <c r="X7" s="76" t="e">
        <f t="shared" si="6"/>
        <v>#DIV/0!</v>
      </c>
      <c r="Y7" s="76" t="e">
        <f t="shared" si="7"/>
        <v>#DIV/0!</v>
      </c>
      <c r="Z7" s="76" t="e">
        <f t="shared" si="8"/>
        <v>#DIV/0!</v>
      </c>
      <c r="AA7" s="118" t="e">
        <f>U7/T7</f>
        <v>#DIV/0!</v>
      </c>
    </row>
    <row r="8" spans="1:27">
      <c r="B8" s="86"/>
      <c r="C8" s="76" t="s">
        <v>25</v>
      </c>
      <c r="D8" s="87"/>
      <c r="E8" s="88"/>
      <c r="F8" s="76">
        <f t="shared" ref="F8" si="9">1/(1+1*(10^(0.56*B8-1.41)))</f>
        <v>0.96255236746355533</v>
      </c>
      <c r="G8" s="76">
        <f t="shared" si="5"/>
        <v>0</v>
      </c>
      <c r="H8" s="89"/>
      <c r="I8" s="89"/>
      <c r="J8" s="76">
        <f t="shared" ref="J8" si="10">1/(1+10^(0.56*B8-1.41))</f>
        <v>0.96255236746355533</v>
      </c>
      <c r="K8" s="76">
        <f t="shared" ref="K8" si="11">I8/J8</f>
        <v>0</v>
      </c>
      <c r="L8" s="77"/>
      <c r="M8">
        <v>45</v>
      </c>
      <c r="N8">
        <v>120</v>
      </c>
      <c r="O8">
        <v>44</v>
      </c>
      <c r="P8">
        <v>30</v>
      </c>
      <c r="Q8" s="113">
        <f t="shared" si="2"/>
        <v>0</v>
      </c>
      <c r="R8" s="113">
        <f t="shared" si="3"/>
        <v>0</v>
      </c>
      <c r="S8" s="113">
        <f>(I8*N8*P8*L8*O8*0.001)/((0.001*I8*L8*N8*P8)+O8)</f>
        <v>0</v>
      </c>
      <c r="T8" s="114">
        <f>(K8*0.001*N8*L8*O8*P8)/((0.001*K8*L8*N8*P8)+O8)</f>
        <v>0</v>
      </c>
      <c r="U8" s="120"/>
      <c r="V8" s="117"/>
      <c r="X8" s="76" t="e">
        <f t="shared" si="6"/>
        <v>#DIV/0!</v>
      </c>
      <c r="Y8" s="76" t="e">
        <f t="shared" si="7"/>
        <v>#DIV/0!</v>
      </c>
      <c r="Z8" s="76" t="e">
        <f t="shared" si="8"/>
        <v>#DIV/0!</v>
      </c>
      <c r="AA8" s="118" t="e">
        <f>U8/T8</f>
        <v>#DIV/0!</v>
      </c>
    </row>
    <row r="11" spans="1:27">
      <c r="A11" s="80"/>
      <c r="B11" s="80"/>
      <c r="C11" s="80"/>
      <c r="D11" s="81" t="s">
        <v>0</v>
      </c>
      <c r="E11" s="82"/>
      <c r="F11" s="82"/>
      <c r="G11" s="82"/>
      <c r="H11" s="83" t="s">
        <v>1</v>
      </c>
      <c r="I11" s="101"/>
      <c r="J11" s="101"/>
      <c r="K11" s="101"/>
      <c r="L11" s="102"/>
      <c r="M11" s="80"/>
      <c r="N11" s="93"/>
      <c r="O11" s="93"/>
      <c r="P11" s="93"/>
      <c r="Q11" s="81" t="s">
        <v>0</v>
      </c>
      <c r="R11" s="82"/>
      <c r="S11" s="83" t="s">
        <v>1</v>
      </c>
      <c r="T11" s="121"/>
      <c r="U11" s="110" t="s">
        <v>2</v>
      </c>
      <c r="V11" s="111" t="s">
        <v>3</v>
      </c>
      <c r="X11" s="144" t="s">
        <v>4</v>
      </c>
      <c r="Y11" s="144"/>
      <c r="Z11" s="144"/>
      <c r="AA11" s="144"/>
    </row>
    <row r="12" spans="1:27" ht="28">
      <c r="A12" s="80" t="s">
        <v>5</v>
      </c>
      <c r="B12" s="92" t="s">
        <v>26</v>
      </c>
      <c r="C12" s="80" t="s">
        <v>7</v>
      </c>
      <c r="D12" s="80" t="s">
        <v>8</v>
      </c>
      <c r="E12" s="93" t="s">
        <v>9</v>
      </c>
      <c r="F12" s="93" t="s">
        <v>10</v>
      </c>
      <c r="G12" s="93" t="s">
        <v>11</v>
      </c>
      <c r="H12" s="80" t="s">
        <v>8</v>
      </c>
      <c r="I12" s="93" t="s">
        <v>9</v>
      </c>
      <c r="J12" s="93" t="s">
        <v>10</v>
      </c>
      <c r="K12" s="93" t="s">
        <v>11</v>
      </c>
      <c r="L12" s="92" t="s">
        <v>12</v>
      </c>
      <c r="M12" s="41" t="s">
        <v>13</v>
      </c>
      <c r="N12" s="45" t="s">
        <v>14</v>
      </c>
      <c r="O12" s="45" t="s">
        <v>15</v>
      </c>
      <c r="P12" s="45" t="s">
        <v>16</v>
      </c>
      <c r="Q12" s="80" t="s">
        <v>17</v>
      </c>
      <c r="R12" s="93" t="s">
        <v>18</v>
      </c>
      <c r="S12" s="80" t="s">
        <v>17</v>
      </c>
      <c r="T12" s="122" t="s">
        <v>18</v>
      </c>
      <c r="U12" s="122" t="s">
        <v>19</v>
      </c>
      <c r="V12" s="122" t="s">
        <v>19</v>
      </c>
      <c r="X12" s="143" t="s">
        <v>64</v>
      </c>
      <c r="Y12" s="143" t="s">
        <v>65</v>
      </c>
      <c r="Z12" s="143" t="s">
        <v>66</v>
      </c>
      <c r="AA12" s="143" t="s">
        <v>67</v>
      </c>
    </row>
    <row r="13" spans="1:27">
      <c r="A13" s="94" t="s">
        <v>20</v>
      </c>
      <c r="B13" s="86"/>
      <c r="C13" s="95" t="s">
        <v>21</v>
      </c>
      <c r="D13" s="87"/>
      <c r="E13" s="88"/>
      <c r="F13" s="95">
        <f>1/(1+1*(10^(0.56*B13-1.41)))</f>
        <v>0.96255236746355533</v>
      </c>
      <c r="G13" s="96">
        <f>E13/F13</f>
        <v>0</v>
      </c>
      <c r="H13" s="97"/>
      <c r="I13" s="97"/>
      <c r="J13" s="95">
        <f>1/(1+10^(0.56*B13-1.41))</f>
        <v>0.96255236746355533</v>
      </c>
      <c r="K13" s="95">
        <f t="shared" ref="K13:K22" si="12">I13/J13</f>
        <v>0</v>
      </c>
      <c r="L13" s="77"/>
      <c r="M13" s="107">
        <v>45</v>
      </c>
      <c r="N13" s="107">
        <v>139</v>
      </c>
      <c r="O13" s="107">
        <v>20.7</v>
      </c>
      <c r="P13" s="107">
        <v>25.7</v>
      </c>
      <c r="Q13" s="123">
        <f>(E13*M13*P13*L13*0.001*O13)/((E13*M13*P13*L13*0.001)+O13)</f>
        <v>0</v>
      </c>
      <c r="R13" s="124">
        <f t="shared" ref="R13:R17" si="13">(0.001*G13*M13*P13*L13*O13)/((0.001*G13*M13*P13*L13)+O13)</f>
        <v>0</v>
      </c>
      <c r="S13" s="123">
        <f>(I13*N13*P13*L13*O13*0.001)/((0.001*I13*L13*N13*P13)+O13)</f>
        <v>0</v>
      </c>
      <c r="T13" s="125">
        <f>(K13*0.001*N13*L13*O13*P13)/((0.001*K13*L13*N13*P13)+O13)</f>
        <v>0</v>
      </c>
      <c r="U13" s="126"/>
      <c r="V13" s="127"/>
    </row>
    <row r="14" spans="1:27">
      <c r="A14" s="78"/>
      <c r="B14" s="86"/>
      <c r="C14" s="76" t="s">
        <v>22</v>
      </c>
      <c r="D14" s="87"/>
      <c r="E14" s="90"/>
      <c r="F14" s="76">
        <f>1/(1+1*(10^(0.56*B14-1.41)))</f>
        <v>0.96255236746355533</v>
      </c>
      <c r="G14" s="98">
        <f>E14/F14</f>
        <v>0</v>
      </c>
      <c r="H14" s="89"/>
      <c r="I14" s="89"/>
      <c r="J14" s="76">
        <f t="shared" ref="J14:J22" si="14">1/(1+10^(0.56*B14-1.41))</f>
        <v>0.96255236746355533</v>
      </c>
      <c r="K14" s="76">
        <f t="shared" si="12"/>
        <v>0</v>
      </c>
      <c r="L14" s="77"/>
      <c r="M14">
        <v>45</v>
      </c>
      <c r="N14">
        <v>135</v>
      </c>
      <c r="O14">
        <v>90</v>
      </c>
      <c r="P14">
        <v>87.5</v>
      </c>
      <c r="Q14" s="128">
        <f t="shared" ref="Q14:Q22" si="15">(E14*M14*P14*L14*0.001*O14)/((E14*M14*P14*L14*0.001)+O14)</f>
        <v>0</v>
      </c>
      <c r="R14" s="113">
        <f t="shared" si="13"/>
        <v>0</v>
      </c>
      <c r="S14" s="128">
        <f t="shared" ref="S14:S22" si="16">(I14*N14*P14*L14*O14*0.001)/((0.001*I14*L14*N14*P14)+O14)</f>
        <v>0</v>
      </c>
      <c r="T14" s="129">
        <f>(K14*0.001*N14*L14*O14*P14)/((0.001*K14*L14*N14*P14)+O14)</f>
        <v>0</v>
      </c>
      <c r="U14" s="130"/>
      <c r="V14" s="131"/>
      <c r="X14" s="76" t="e">
        <f>U14/Q14</f>
        <v>#DIV/0!</v>
      </c>
      <c r="Y14" s="76" t="e">
        <f>U14/R14</f>
        <v>#DIV/0!</v>
      </c>
      <c r="Z14" s="76" t="e">
        <f>U14/S14</f>
        <v>#DIV/0!</v>
      </c>
      <c r="AA14" s="118" t="e">
        <f>U14/T14</f>
        <v>#DIV/0!</v>
      </c>
    </row>
    <row r="15" spans="1:27">
      <c r="A15" s="78"/>
      <c r="B15" s="86"/>
      <c r="C15" s="76" t="s">
        <v>23</v>
      </c>
      <c r="D15" s="87"/>
      <c r="E15" s="88"/>
      <c r="F15" s="76">
        <f t="shared" ref="F15:F17" si="17">1/(1+1*(10^(0.56*B15-1.41)))</f>
        <v>0.96255236746355533</v>
      </c>
      <c r="G15" s="98">
        <f t="shared" ref="G15:G22" si="18">E15/F15</f>
        <v>0</v>
      </c>
      <c r="H15" s="91"/>
      <c r="I15" s="89"/>
      <c r="J15" s="76">
        <f t="shared" si="14"/>
        <v>0.96255236746355533</v>
      </c>
      <c r="K15" s="76">
        <f t="shared" si="12"/>
        <v>0</v>
      </c>
      <c r="L15" s="105"/>
      <c r="M15">
        <v>45</v>
      </c>
      <c r="N15">
        <v>117</v>
      </c>
      <c r="O15">
        <v>55.2</v>
      </c>
      <c r="P15">
        <v>40</v>
      </c>
      <c r="Q15" s="128">
        <f t="shared" si="15"/>
        <v>0</v>
      </c>
      <c r="R15" s="113">
        <f t="shared" si="13"/>
        <v>0</v>
      </c>
      <c r="S15" s="128">
        <f t="shared" si="16"/>
        <v>0</v>
      </c>
      <c r="T15" s="129">
        <f>(K15*0.001*N15*L15*O15*P15)/((0.001*K15*L15*N15*P15)+O15)</f>
        <v>0</v>
      </c>
      <c r="U15" s="130"/>
      <c r="V15" s="131"/>
      <c r="X15" s="76" t="e">
        <f t="shared" ref="X15:X16" si="19">U15/Q15</f>
        <v>#DIV/0!</v>
      </c>
      <c r="Y15" s="76" t="e">
        <f t="shared" ref="Y15:Y16" si="20">U15/R15</f>
        <v>#DIV/0!</v>
      </c>
      <c r="Z15" s="76" t="e">
        <f t="shared" ref="Z15:Z17" si="21">U15/S15</f>
        <v>#DIV/0!</v>
      </c>
      <c r="AA15" s="118" t="e">
        <f>U15/T15</f>
        <v>#DIV/0!</v>
      </c>
    </row>
    <row r="16" spans="1:27">
      <c r="A16" s="78"/>
      <c r="B16" s="86"/>
      <c r="C16" s="76" t="s">
        <v>24</v>
      </c>
      <c r="D16" s="87"/>
      <c r="E16" s="90"/>
      <c r="F16" s="76">
        <f t="shared" si="17"/>
        <v>0.96255236746355533</v>
      </c>
      <c r="G16" s="98">
        <f t="shared" si="18"/>
        <v>0</v>
      </c>
      <c r="H16" s="91"/>
      <c r="I16" s="89"/>
      <c r="J16" s="76">
        <f t="shared" si="14"/>
        <v>0.96255236746355533</v>
      </c>
      <c r="K16" s="76">
        <f t="shared" si="12"/>
        <v>0</v>
      </c>
      <c r="L16" s="106"/>
      <c r="M16">
        <v>45</v>
      </c>
      <c r="N16">
        <v>215</v>
      </c>
      <c r="O16">
        <v>30.9</v>
      </c>
      <c r="P16">
        <v>32</v>
      </c>
      <c r="Q16" s="128">
        <f t="shared" si="15"/>
        <v>0</v>
      </c>
      <c r="R16" s="113">
        <f t="shared" si="13"/>
        <v>0</v>
      </c>
      <c r="S16" s="128">
        <f t="shared" si="16"/>
        <v>0</v>
      </c>
      <c r="T16" s="129">
        <f t="shared" ref="T16:T22" si="22">(K16*0.001*N16*L16*O16*P16)/((0.001*K16*L16*N16*P16)+O16)</f>
        <v>0</v>
      </c>
      <c r="U16" s="130"/>
      <c r="V16" s="131"/>
      <c r="X16" s="76" t="e">
        <f t="shared" si="19"/>
        <v>#DIV/0!</v>
      </c>
      <c r="Y16" s="76" t="e">
        <f t="shared" si="20"/>
        <v>#DIV/0!</v>
      </c>
      <c r="Z16" s="76" t="e">
        <f t="shared" si="21"/>
        <v>#DIV/0!</v>
      </c>
      <c r="AA16" s="118" t="e">
        <f>U16/T16</f>
        <v>#DIV/0!</v>
      </c>
    </row>
    <row r="17" spans="1:27">
      <c r="A17" s="78"/>
      <c r="B17" s="86"/>
      <c r="C17" s="76" t="s">
        <v>25</v>
      </c>
      <c r="D17" s="87"/>
      <c r="E17" s="88"/>
      <c r="F17" s="76">
        <f t="shared" si="17"/>
        <v>0.96255236746355533</v>
      </c>
      <c r="G17" s="98">
        <f t="shared" si="18"/>
        <v>0</v>
      </c>
      <c r="H17" s="89"/>
      <c r="I17" s="89"/>
      <c r="J17" s="76">
        <f t="shared" si="14"/>
        <v>0.96255236746355533</v>
      </c>
      <c r="K17" s="76">
        <f t="shared" si="12"/>
        <v>0</v>
      </c>
      <c r="L17" s="77"/>
      <c r="M17">
        <v>45</v>
      </c>
      <c r="N17">
        <v>120</v>
      </c>
      <c r="O17">
        <v>44</v>
      </c>
      <c r="P17">
        <v>30</v>
      </c>
      <c r="Q17" s="128">
        <f t="shared" si="15"/>
        <v>0</v>
      </c>
      <c r="R17" s="113">
        <f t="shared" si="13"/>
        <v>0</v>
      </c>
      <c r="S17" s="128">
        <f t="shared" si="16"/>
        <v>0</v>
      </c>
      <c r="T17" s="133">
        <f>(K17*0.001*N17*L17*O17*P17)/((0.001*K17*L17*N17*P17)+O17)</f>
        <v>0</v>
      </c>
      <c r="U17" s="132"/>
      <c r="V17" s="131"/>
      <c r="X17" s="76" t="e">
        <f>U17/Q17</f>
        <v>#DIV/0!</v>
      </c>
      <c r="Y17" s="76" t="e">
        <f>U17/R17</f>
        <v>#DIV/0!</v>
      </c>
      <c r="Z17" s="76" t="e">
        <f t="shared" si="21"/>
        <v>#DIV/0!</v>
      </c>
      <c r="AA17" s="118" t="e">
        <f>U17/T17</f>
        <v>#DIV/0!</v>
      </c>
    </row>
    <row r="18" spans="1:27" hidden="1">
      <c r="A18" s="94" t="s">
        <v>27</v>
      </c>
      <c r="B18" s="78">
        <v>0.67200000000000004</v>
      </c>
      <c r="C18" s="94" t="s">
        <v>21</v>
      </c>
      <c r="D18" s="94">
        <v>145</v>
      </c>
      <c r="E18" s="95">
        <v>9.6</v>
      </c>
      <c r="F18" s="95">
        <f t="shared" ref="F18:F22" si="23">1/(1+0.5*(10^(0.56*B18-1.41)))</f>
        <v>0.95577715778266259</v>
      </c>
      <c r="G18" s="95">
        <f t="shared" si="18"/>
        <v>10.044182288548662</v>
      </c>
      <c r="H18" s="78">
        <v>179.8</v>
      </c>
      <c r="I18" s="76">
        <v>7.7</v>
      </c>
      <c r="J18" s="95">
        <f t="shared" si="14"/>
        <v>0.91529999071188073</v>
      </c>
      <c r="K18" s="95">
        <f t="shared" si="12"/>
        <v>8.4125424212134785</v>
      </c>
      <c r="L18" s="108">
        <v>6.0000000000000001E-3</v>
      </c>
      <c r="M18" s="94">
        <v>45</v>
      </c>
      <c r="N18" s="95">
        <v>139</v>
      </c>
      <c r="O18" s="95">
        <v>20.7</v>
      </c>
      <c r="P18" s="95">
        <v>25.7</v>
      </c>
      <c r="Q18" s="123">
        <f t="shared" si="15"/>
        <v>6.6400716719620903E-2</v>
      </c>
      <c r="R18" s="124">
        <f t="shared" ref="R18:R22" si="24">(0.001*G18*M18*P18*L18*O18)/((0.001*G18*M18*P18*L18)+O18)</f>
        <v>6.946270105658027E-2</v>
      </c>
      <c r="S18" s="123">
        <f t="shared" si="16"/>
        <v>0.16373480901205795</v>
      </c>
      <c r="T18" s="134">
        <f t="shared" si="22"/>
        <v>0.17875565397683729</v>
      </c>
      <c r="U18" s="135"/>
      <c r="V18" s="136"/>
    </row>
    <row r="19" spans="1:27" hidden="1">
      <c r="A19" s="78"/>
      <c r="B19" s="78">
        <v>0.67200000000000004</v>
      </c>
      <c r="C19" s="78" t="s">
        <v>22</v>
      </c>
      <c r="D19" s="78">
        <v>98</v>
      </c>
      <c r="E19" s="76">
        <v>14.1</v>
      </c>
      <c r="F19" s="76">
        <f t="shared" si="23"/>
        <v>0.95577715778266259</v>
      </c>
      <c r="G19" s="76">
        <f t="shared" si="18"/>
        <v>14.752392736305847</v>
      </c>
      <c r="H19" s="78">
        <v>114.4</v>
      </c>
      <c r="I19" s="76">
        <v>12.1</v>
      </c>
      <c r="J19" s="76">
        <f t="shared" si="14"/>
        <v>0.91529999071188073</v>
      </c>
      <c r="K19" s="76">
        <f t="shared" si="12"/>
        <v>13.219709519049752</v>
      </c>
      <c r="L19" s="108">
        <v>1E-3</v>
      </c>
      <c r="M19" s="78">
        <v>45</v>
      </c>
      <c r="N19" s="76">
        <v>135</v>
      </c>
      <c r="O19" s="76">
        <v>90</v>
      </c>
      <c r="P19" s="76">
        <v>87.5</v>
      </c>
      <c r="Q19" s="128">
        <f t="shared" si="15"/>
        <v>5.5484522984883697E-2</v>
      </c>
      <c r="R19" s="113">
        <f t="shared" si="24"/>
        <v>5.8050079880220713E-2</v>
      </c>
      <c r="S19" s="128">
        <f t="shared" si="16"/>
        <v>0.14270461722976197</v>
      </c>
      <c r="T19" s="133">
        <f t="shared" si="22"/>
        <v>0.15588734061519252</v>
      </c>
      <c r="U19" s="137">
        <v>0.27</v>
      </c>
      <c r="V19" s="131"/>
    </row>
    <row r="20" spans="1:27" hidden="1">
      <c r="A20" s="78"/>
      <c r="B20" s="78">
        <v>0.67200000000000004</v>
      </c>
      <c r="C20" s="78" t="s">
        <v>23</v>
      </c>
      <c r="D20" s="78">
        <v>145</v>
      </c>
      <c r="E20" s="76">
        <v>9.6</v>
      </c>
      <c r="F20" s="76">
        <f t="shared" si="23"/>
        <v>0.95577715778266259</v>
      </c>
      <c r="G20" s="76">
        <f t="shared" si="18"/>
        <v>10.044182288548662</v>
      </c>
      <c r="H20" s="78">
        <v>70.900000000000006</v>
      </c>
      <c r="I20" s="76">
        <v>19.600000000000001</v>
      </c>
      <c r="J20" s="76">
        <f t="shared" si="14"/>
        <v>0.91529999071188073</v>
      </c>
      <c r="K20" s="76">
        <f t="shared" si="12"/>
        <v>21.413744344907037</v>
      </c>
      <c r="L20" s="108">
        <v>3.0000000000000001E-3</v>
      </c>
      <c r="M20" s="78">
        <v>45</v>
      </c>
      <c r="N20" s="76">
        <v>117</v>
      </c>
      <c r="O20" s="76">
        <v>55.2</v>
      </c>
      <c r="P20" s="76">
        <v>40</v>
      </c>
      <c r="Q20" s="128">
        <f t="shared" si="15"/>
        <v>5.1791361156479143E-2</v>
      </c>
      <c r="R20" s="113">
        <f t="shared" si="24"/>
        <v>5.4185342758811324E-2</v>
      </c>
      <c r="S20" s="128">
        <f t="shared" si="16"/>
        <v>0.2738189529934682</v>
      </c>
      <c r="T20" s="133">
        <f t="shared" si="22"/>
        <v>0.2990203445377399</v>
      </c>
      <c r="U20" s="137">
        <v>3.66</v>
      </c>
      <c r="V20" s="131"/>
    </row>
    <row r="21" spans="1:27" hidden="1">
      <c r="A21" s="78"/>
      <c r="B21" s="78">
        <v>0.67200000000000004</v>
      </c>
      <c r="C21" s="78" t="s">
        <v>24</v>
      </c>
      <c r="D21" s="78">
        <v>145</v>
      </c>
      <c r="E21" s="76">
        <v>9.6</v>
      </c>
      <c r="F21" s="76">
        <f t="shared" si="23"/>
        <v>0.95577715778266259</v>
      </c>
      <c r="G21" s="76">
        <f t="shared" si="18"/>
        <v>10.044182288548662</v>
      </c>
      <c r="H21" s="78">
        <v>216.8</v>
      </c>
      <c r="I21" s="76">
        <v>6.4</v>
      </c>
      <c r="J21" s="76">
        <f t="shared" si="14"/>
        <v>0.91529999071188073</v>
      </c>
      <c r="K21" s="76">
        <f t="shared" si="12"/>
        <v>6.9922430513982166</v>
      </c>
      <c r="L21" s="108">
        <v>1E-3</v>
      </c>
      <c r="M21" s="78">
        <v>45</v>
      </c>
      <c r="N21" s="76">
        <v>215</v>
      </c>
      <c r="O21" s="76">
        <v>30.9</v>
      </c>
      <c r="P21" s="76">
        <v>32</v>
      </c>
      <c r="Q21" s="128">
        <f t="shared" si="15"/>
        <v>1.381781820327372E-2</v>
      </c>
      <c r="R21" s="113">
        <f t="shared" si="24"/>
        <v>1.4456855553723625E-2</v>
      </c>
      <c r="S21" s="128">
        <f t="shared" si="16"/>
        <v>4.396934439571417E-2</v>
      </c>
      <c r="T21" s="129">
        <f t="shared" si="22"/>
        <v>4.8031853852943965E-2</v>
      </c>
      <c r="U21" s="138">
        <v>0.18</v>
      </c>
      <c r="V21" s="131"/>
    </row>
    <row r="22" spans="1:27" hidden="1">
      <c r="A22" s="99"/>
      <c r="B22" s="99">
        <v>0.67200000000000004</v>
      </c>
      <c r="C22" s="99" t="s">
        <v>25</v>
      </c>
      <c r="D22" s="99">
        <v>138.6</v>
      </c>
      <c r="E22" s="100">
        <v>10</v>
      </c>
      <c r="F22" s="100">
        <f t="shared" si="23"/>
        <v>0.95577715778266259</v>
      </c>
      <c r="G22" s="100">
        <f t="shared" si="18"/>
        <v>10.462689883904856</v>
      </c>
      <c r="H22" s="99">
        <v>216.8</v>
      </c>
      <c r="I22" s="100">
        <v>6.4</v>
      </c>
      <c r="J22" s="100">
        <f t="shared" si="14"/>
        <v>0.91529999071188073</v>
      </c>
      <c r="K22" s="100">
        <f t="shared" si="12"/>
        <v>6.9922430513982166</v>
      </c>
      <c r="L22" s="109">
        <v>1.0999999999999999E-2</v>
      </c>
      <c r="M22" s="99">
        <v>45</v>
      </c>
      <c r="N22" s="100">
        <v>120</v>
      </c>
      <c r="O22" s="100">
        <v>44</v>
      </c>
      <c r="P22" s="100">
        <v>30</v>
      </c>
      <c r="Q22" s="139">
        <f t="shared" si="15"/>
        <v>0.14800049831817616</v>
      </c>
      <c r="R22" s="140">
        <f t="shared" si="24"/>
        <v>0.15482423596199538</v>
      </c>
      <c r="S22" s="139">
        <f t="shared" si="16"/>
        <v>0.25198854597518294</v>
      </c>
      <c r="T22" s="140">
        <f t="shared" si="22"/>
        <v>0.27516123005638105</v>
      </c>
      <c r="U22" s="141">
        <v>0.33</v>
      </c>
      <c r="V22" s="142"/>
    </row>
    <row r="25" spans="1:27">
      <c r="A25" s="74" t="s">
        <v>28</v>
      </c>
    </row>
    <row r="26" spans="1:27">
      <c r="A26" s="75" t="s">
        <v>29</v>
      </c>
    </row>
  </sheetData>
  <mergeCells count="2">
    <mergeCell ref="X2:AA2"/>
    <mergeCell ref="X11:AA11"/>
  </mergeCells>
  <phoneticPr fontId="10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ltText="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704850</xdr:colOff>
                <xdr:row>1</xdr:row>
                <xdr:rowOff>133350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>
      <c r="C23" s="41" t="s">
        <v>7</v>
      </c>
      <c r="D23" s="41" t="s">
        <v>46</v>
      </c>
      <c r="E23" s="42" t="s">
        <v>47</v>
      </c>
      <c r="F23" s="43" t="s">
        <v>30</v>
      </c>
      <c r="G23" s="44" t="s">
        <v>32</v>
      </c>
      <c r="H23" s="45" t="s">
        <v>48</v>
      </c>
    </row>
    <row r="24" spans="3:17">
      <c r="C24" s="46" t="s">
        <v>39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>
      <c r="C25" s="50" t="s">
        <v>40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>
      <c r="C26" s="50" t="s">
        <v>41</v>
      </c>
      <c r="D26" s="11">
        <v>10</v>
      </c>
      <c r="E26" s="9">
        <f t="shared" si="0"/>
        <v>1</v>
      </c>
      <c r="G26" s="11">
        <v>12.2</v>
      </c>
      <c r="H26" s="52"/>
    </row>
    <row r="27" spans="3:17">
      <c r="C27" s="50" t="s">
        <v>42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>
      <c r="C28" s="54" t="s">
        <v>21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>
      <c r="G29" s="57">
        <f>10^H29</f>
        <v>11.99027700502498</v>
      </c>
      <c r="H29" s="58">
        <f>1.0069*E28-0.779</f>
        <v>1.0788292164903552</v>
      </c>
    </row>
    <row r="39" spans="3:8">
      <c r="E39" t="s">
        <v>49</v>
      </c>
      <c r="F39" s="44" t="s">
        <v>32</v>
      </c>
      <c r="G39" t="s">
        <v>50</v>
      </c>
      <c r="H39" t="s">
        <v>51</v>
      </c>
    </row>
    <row r="40" spans="3:8">
      <c r="C40" s="46" t="s">
        <v>39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>
      <c r="C41" s="50" t="s">
        <v>40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>
      <c r="C42" s="61" t="s">
        <v>41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>
      <c r="C43" s="61" t="s">
        <v>42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>
      <c r="C44" t="s">
        <v>43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>
      <c r="F45" s="65"/>
      <c r="G45" s="66"/>
      <c r="H45" s="58"/>
    </row>
    <row r="51" spans="7:11">
      <c r="I51" s="35"/>
    </row>
    <row r="52" spans="7:11">
      <c r="I52" s="35"/>
    </row>
    <row r="54" spans="7:11">
      <c r="G54" s="42"/>
      <c r="I54" s="38"/>
      <c r="K54" s="42"/>
    </row>
    <row r="55" spans="7:11">
      <c r="G55" s="2"/>
      <c r="I55" s="67"/>
      <c r="J55" s="68"/>
      <c r="K55" s="2"/>
    </row>
    <row r="56" spans="7:11">
      <c r="G56" s="2"/>
      <c r="I56" s="69"/>
      <c r="J56" s="68"/>
      <c r="K56" s="2"/>
    </row>
    <row r="57" spans="7:11">
      <c r="G57" s="2"/>
      <c r="I57" s="70"/>
      <c r="J57" s="71"/>
      <c r="K57" s="2"/>
    </row>
    <row r="58" spans="7:11">
      <c r="G58" s="2"/>
      <c r="I58" s="69"/>
      <c r="J58" s="71"/>
      <c r="K58" s="2"/>
    </row>
    <row r="59" spans="7:11">
      <c r="I59" s="72"/>
      <c r="K59" s="2"/>
    </row>
  </sheetData>
  <phoneticPr fontId="10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/>
  <cols>
    <col min="11" max="11" width="10.6640625" customWidth="1"/>
    <col min="12" max="12" width="13" customWidth="1"/>
  </cols>
  <sheetData>
    <row r="3" spans="9:17">
      <c r="I3" s="16" t="s">
        <v>33</v>
      </c>
      <c r="J3" s="17" t="s">
        <v>34</v>
      </c>
      <c r="K3" s="17" t="s">
        <v>35</v>
      </c>
      <c r="L3" s="17" t="s">
        <v>36</v>
      </c>
      <c r="M3" s="18" t="s">
        <v>38</v>
      </c>
      <c r="N3" s="19" t="s">
        <v>31</v>
      </c>
      <c r="O3" s="17" t="s">
        <v>37</v>
      </c>
      <c r="Q3" s="16"/>
    </row>
    <row r="4" spans="9:17">
      <c r="I4" s="16" t="s">
        <v>39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>
      <c r="I5" s="16" t="s">
        <v>40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>
      <c r="I6" s="16" t="s">
        <v>41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>
      <c r="I7" s="16" t="s">
        <v>42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>
      <c r="I8" s="31" t="s">
        <v>43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>
      <c r="L9" t="s">
        <v>52</v>
      </c>
      <c r="M9">
        <f>M4/M8</f>
        <v>0.39999999999999997</v>
      </c>
    </row>
    <row r="10" spans="9:17">
      <c r="L10" t="s">
        <v>53</v>
      </c>
      <c r="M10" s="34">
        <f>M5/M8</f>
        <v>10.733333333333333</v>
      </c>
    </row>
    <row r="11" spans="9:17">
      <c r="L11" t="s">
        <v>54</v>
      </c>
      <c r="M11">
        <f>M6/M8</f>
        <v>96.666666666666657</v>
      </c>
    </row>
    <row r="12" spans="9:17">
      <c r="L12" t="s">
        <v>55</v>
      </c>
      <c r="M12">
        <f>M7/M8</f>
        <v>4.666666666666667</v>
      </c>
    </row>
    <row r="13" spans="9:17">
      <c r="I13" s="35"/>
      <c r="J13" s="35" t="s">
        <v>44</v>
      </c>
      <c r="K13" s="35" t="s">
        <v>45</v>
      </c>
    </row>
    <row r="14" spans="9:17">
      <c r="I14" s="16" t="s">
        <v>39</v>
      </c>
      <c r="J14" s="36">
        <f>LOG(J4)</f>
        <v>-1.6020599913279623</v>
      </c>
      <c r="K14" s="37">
        <f>LOG(N4)</f>
        <v>-3.024568191490737</v>
      </c>
    </row>
    <row r="15" spans="9:17">
      <c r="I15" s="16" t="s">
        <v>40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>
      <c r="I16" s="16" t="s">
        <v>41</v>
      </c>
      <c r="J16" s="36">
        <f t="shared" si="0"/>
        <v>1</v>
      </c>
      <c r="K16" s="37">
        <f t="shared" si="1"/>
        <v>1.0748164406451748</v>
      </c>
    </row>
    <row r="17" spans="9:11">
      <c r="I17" s="16" t="s">
        <v>42</v>
      </c>
      <c r="J17" s="36">
        <f t="shared" si="0"/>
        <v>0.69897000433601886</v>
      </c>
      <c r="K17" s="37">
        <f t="shared" si="1"/>
        <v>-0.33254704711004607</v>
      </c>
    </row>
    <row r="18" spans="9:11">
      <c r="I18" s="35"/>
      <c r="J18" s="36">
        <f t="shared" si="0"/>
        <v>1.8450980400142569</v>
      </c>
      <c r="K18" s="35"/>
    </row>
    <row r="19" spans="9:11">
      <c r="J19" s="38" t="s">
        <v>56</v>
      </c>
      <c r="K19" s="37">
        <f>10^(-0.6231)</f>
        <v>0.23817709831782291</v>
      </c>
    </row>
    <row r="20" spans="9:11">
      <c r="I20" s="31" t="s">
        <v>57</v>
      </c>
      <c r="K20" s="39">
        <f>33.35*(K19/M9)^0.77</f>
        <v>22.372918723545872</v>
      </c>
    </row>
    <row r="21" spans="9:11">
      <c r="I21" t="s">
        <v>58</v>
      </c>
      <c r="J21" t="s">
        <v>59</v>
      </c>
      <c r="K21" s="39">
        <f>33.35*(K19/M10)^0.77</f>
        <v>1.7768189737700604</v>
      </c>
    </row>
    <row r="22" spans="9:11">
      <c r="I22" t="s">
        <v>60</v>
      </c>
      <c r="K22" s="39">
        <f>33.35*(K19/M11)^0.77</f>
        <v>0.32707379195527786</v>
      </c>
    </row>
    <row r="23" spans="9:11">
      <c r="K23" s="39">
        <f>33.35*(K19/M12)^0.77</f>
        <v>3.3742217219219288</v>
      </c>
    </row>
    <row r="24" spans="9:11">
      <c r="K24" s="40"/>
    </row>
  </sheetData>
  <phoneticPr fontId="10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/>
  <cols>
    <col min="7" max="7" width="13.33203125" customWidth="1"/>
  </cols>
  <sheetData>
    <row r="3" spans="3:8">
      <c r="H3" t="s">
        <v>61</v>
      </c>
    </row>
    <row r="4" spans="3:8">
      <c r="C4" s="1"/>
      <c r="D4" s="145" t="s">
        <v>62</v>
      </c>
      <c r="E4" s="146"/>
      <c r="F4" s="147"/>
      <c r="G4" s="2" t="s">
        <v>63</v>
      </c>
    </row>
    <row r="5" spans="3:8">
      <c r="C5" s="3" t="s">
        <v>7</v>
      </c>
      <c r="D5" s="4"/>
      <c r="E5" s="5"/>
      <c r="F5" s="6"/>
    </row>
    <row r="6" spans="3:8">
      <c r="C6" s="7" t="s">
        <v>22</v>
      </c>
      <c r="D6" s="8"/>
      <c r="F6" s="9">
        <v>47.08</v>
      </c>
      <c r="G6" s="10">
        <v>0.2</v>
      </c>
      <c r="H6">
        <v>0.06</v>
      </c>
    </row>
    <row r="7" spans="3:8">
      <c r="C7" s="7" t="s">
        <v>23</v>
      </c>
      <c r="D7" s="11"/>
      <c r="F7" s="9">
        <v>65.290000000000006</v>
      </c>
      <c r="G7" s="2">
        <v>1.3</v>
      </c>
      <c r="H7">
        <v>1.61</v>
      </c>
    </row>
    <row r="8" spans="3:8">
      <c r="C8" s="7" t="s">
        <v>24</v>
      </c>
      <c r="D8" s="11"/>
      <c r="F8" s="9">
        <v>65.2</v>
      </c>
      <c r="G8" s="2">
        <v>14.5</v>
      </c>
    </row>
    <row r="9" spans="3:8">
      <c r="C9" s="7" t="s">
        <v>25</v>
      </c>
      <c r="D9" s="11"/>
      <c r="F9" s="9">
        <v>88.9</v>
      </c>
      <c r="G9" s="2">
        <v>1.5</v>
      </c>
      <c r="H9">
        <v>0.7</v>
      </c>
    </row>
    <row r="10" spans="3:8">
      <c r="C10" s="12" t="s">
        <v>21</v>
      </c>
      <c r="D10" s="13"/>
      <c r="E10" s="14"/>
      <c r="F10" s="15"/>
      <c r="G10" s="10">
        <v>0.1</v>
      </c>
      <c r="H10">
        <v>0.15</v>
      </c>
    </row>
    <row r="12" spans="3:8">
      <c r="F12">
        <f>AVERAGE(F6:F9)</f>
        <v>66.617500000000007</v>
      </c>
    </row>
  </sheetData>
  <mergeCells count="1">
    <mergeCell ref="D4:F4"/>
  </mergeCells>
  <phoneticPr fontId="10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IVIVE for CL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2025-03-06T07:00:10Z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