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13" codeName="{AB3344F7-D241-B141-7B5F-E26DF2BE0A92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splitexcel\"/>
    </mc:Choice>
  </mc:AlternateContent>
  <xr:revisionPtr revIDLastSave="0" documentId="13_ncr:1_{B7C3A86C-9EE0-4D03-A06C-2F98F957E0AE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FCIM" sheetId="9" r:id="rId1"/>
    <sheet name="Vdss_Allometry" sheetId="2" state="hidden" r:id="rId2"/>
    <sheet name="FICM R-H" sheetId="8" state="hidden" r:id="rId3"/>
    <sheet name="F%_Average" sheetId="3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9" l="1"/>
  <c r="C25" i="9"/>
  <c r="C24" i="9"/>
  <c r="C26" i="9" s="1"/>
  <c r="C30" i="9" s="1"/>
  <c r="D30" i="9" l="1"/>
  <c r="E16" i="9"/>
  <c r="E17" i="9"/>
  <c r="E18" i="9"/>
  <c r="E15" i="9"/>
  <c r="D17" i="9" l="1"/>
  <c r="F17" i="9" s="1"/>
  <c r="D15" i="9"/>
  <c r="F15" i="9" s="1"/>
  <c r="D16" i="9"/>
  <c r="F16" i="9" s="1"/>
  <c r="D18" i="9"/>
  <c r="F18" i="9" s="1"/>
  <c r="F12" i="3" l="1"/>
  <c r="K19" i="8"/>
  <c r="J18" i="8"/>
  <c r="K17" i="8"/>
  <c r="J17" i="8"/>
  <c r="K16" i="8"/>
  <c r="J16" i="8"/>
  <c r="K15" i="8"/>
  <c r="J15" i="8"/>
  <c r="K14" i="8"/>
  <c r="J14" i="8"/>
  <c r="M12" i="8"/>
  <c r="M11" i="8"/>
  <c r="M10" i="8"/>
  <c r="M9" i="8"/>
  <c r="G43" i="2"/>
  <c r="H43" i="2" s="1"/>
  <c r="G42" i="2"/>
  <c r="H42" i="2" s="1"/>
  <c r="E41" i="2"/>
  <c r="G41" i="2" s="1"/>
  <c r="H41" i="2" s="1"/>
  <c r="G40" i="2"/>
  <c r="H40" i="2" s="1"/>
  <c r="E28" i="2"/>
  <c r="H27" i="2"/>
  <c r="E27" i="2"/>
  <c r="E26" i="2"/>
  <c r="H25" i="2"/>
  <c r="E25" i="2"/>
  <c r="H24" i="2"/>
  <c r="E24" i="2"/>
  <c r="K20" i="8" l="1"/>
  <c r="K21" i="8"/>
  <c r="K22" i="8"/>
  <c r="K23" i="8"/>
  <c r="H44" i="2"/>
  <c r="G44" i="2" s="1"/>
  <c r="F44" i="2" s="1"/>
  <c r="H28" i="2"/>
  <c r="G28" i="2" s="1"/>
  <c r="F28" i="2" s="1"/>
  <c r="H29" i="2"/>
  <c r="G29" i="2" s="1"/>
</calcChain>
</file>

<file path=xl/sharedStrings.xml><?xml version="1.0" encoding="utf-8"?>
<sst xmlns="http://schemas.openxmlformats.org/spreadsheetml/2006/main" count="75" uniqueCount="49">
  <si>
    <t>Species</t>
  </si>
  <si>
    <t>h</t>
  </si>
  <si>
    <t>m</t>
  </si>
  <si>
    <t>r</t>
  </si>
  <si>
    <t>d</t>
  </si>
  <si>
    <t>c</t>
  </si>
  <si>
    <t>Vdss (L/kg)</t>
  </si>
  <si>
    <t>Cl(L/h)</t>
  </si>
  <si>
    <t>Vdss (L)</t>
  </si>
  <si>
    <t>Animal</t>
  </si>
  <si>
    <t>Body Weight (kg)</t>
  </si>
  <si>
    <t>Brain Weight (kg)</t>
  </si>
  <si>
    <t>MLP (years)</t>
  </si>
  <si>
    <t>Vdss</t>
  </si>
  <si>
    <t>fu</t>
  </si>
  <si>
    <t>Mouse</t>
  </si>
  <si>
    <t>Rat</t>
  </si>
  <si>
    <t>Dog</t>
  </si>
  <si>
    <t>Monkey</t>
  </si>
  <si>
    <t>Human</t>
  </si>
  <si>
    <t>Log BW</t>
  </si>
  <si>
    <t>log CL</t>
  </si>
  <si>
    <t>BW (kg)</t>
  </si>
  <si>
    <t>logBW</t>
  </si>
  <si>
    <t>Log Vd</t>
  </si>
  <si>
    <t>Fu</t>
  </si>
  <si>
    <t>Vd/FU</t>
  </si>
  <si>
    <t>LOG Vd/FU</t>
  </si>
  <si>
    <t>Rfu m-h</t>
  </si>
  <si>
    <t>Rfu r-h</t>
  </si>
  <si>
    <t>Rfu D-h</t>
  </si>
  <si>
    <t>Rfu CK-h</t>
  </si>
  <si>
    <t>a</t>
  </si>
  <si>
    <t>M</t>
  </si>
  <si>
    <t>R</t>
  </si>
  <si>
    <t>CL</t>
  </si>
  <si>
    <t>D</t>
  </si>
  <si>
    <t>10% plasma</t>
  </si>
  <si>
    <t>F%</t>
  </si>
  <si>
    <t>unbound(%)</t>
  </si>
  <si>
    <t>Tang &amp; Mayersohn, 2005</t>
  </si>
  <si>
    <t>Log CL</t>
  </si>
  <si>
    <r>
      <t>CL (</t>
    </r>
    <r>
      <rPr>
        <b/>
        <sz val="11"/>
        <color rgb="FFFF0000"/>
        <rFont val="等线"/>
        <family val="2"/>
        <scheme val="minor"/>
      </rPr>
      <t>mL/min</t>
    </r>
    <r>
      <rPr>
        <b/>
        <sz val="11"/>
        <color theme="1"/>
        <rFont val="等线"/>
        <family val="3"/>
        <charset val="134"/>
        <scheme val="minor"/>
      </rPr>
      <t>)</t>
    </r>
  </si>
  <si>
    <t>Rfu</t>
  </si>
  <si>
    <t>mL/min</t>
  </si>
  <si>
    <t>L/hr</t>
  </si>
  <si>
    <t>CL human</t>
  </si>
  <si>
    <t>fu_human</t>
  </si>
  <si>
    <t>fu_rat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</si>
</sst>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0"/>
    <numFmt numFmtId="177" formatCode="0.0000"/>
    <numFmt numFmtId="178" formatCode="0.00_);[Red]\(0.00\)"/>
    <numFmt numFmtId="180" formatCode="0.000000"/>
    <numFmt numFmtId="181" formatCode="0.0"/>
    <numFmt numFmtId="182" formatCode="0.00000000"/>
  </numFmts>
  <fonts count="15" x14ac:knownFonts="1">
    <font>
      <sz val="11"/>
      <color theme="1"/>
      <name val="等线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i/>
      <sz val="11"/>
      <color theme="1"/>
      <name val="等线"/>
      <family val="3"/>
      <charset val="134"/>
      <scheme val="minor"/>
    </font>
    <font>
      <b/>
      <sz val="11"/>
      <color rgb="FF7030A0"/>
      <name val="等线"/>
      <family val="3"/>
      <charset val="134"/>
      <scheme val="minor"/>
    </font>
    <font>
      <b/>
      <sz val="10"/>
      <color theme="1"/>
      <name val="Arial"/>
      <family val="2"/>
    </font>
    <font>
      <sz val="11"/>
      <color rgb="FF7030A0"/>
      <name val="等线"/>
      <family val="3"/>
      <charset val="134"/>
      <scheme val="minor"/>
    </font>
    <font>
      <b/>
      <sz val="11"/>
      <color rgb="FFC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i/>
      <u/>
      <sz val="12"/>
      <color theme="1"/>
      <name val="等线"/>
      <family val="2"/>
      <scheme val="minor"/>
    </font>
    <font>
      <b/>
      <sz val="11"/>
      <color rgb="FFFF0000"/>
      <name val="等线"/>
      <family val="2"/>
      <scheme val="minor"/>
    </font>
    <font>
      <b/>
      <sz val="11"/>
      <name val="等线"/>
      <family val="2"/>
      <scheme val="minor"/>
    </font>
    <font>
      <sz val="11"/>
      <color rgb="FFFF0000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8" fillId="0" borderId="0"/>
  </cellStyleXfs>
  <cellXfs count="8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1" fillId="0" borderId="5" xfId="0" applyFont="1" applyBorder="1">
      <alignment vertical="center"/>
    </xf>
    <xf numFmtId="49" fontId="1" fillId="0" borderId="6" xfId="0" applyNumberFormat="1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0" fillId="0" borderId="5" xfId="0" applyBorder="1">
      <alignment vertical="center"/>
    </xf>
    <xf numFmtId="0" fontId="2" fillId="0" borderId="6" xfId="0" applyFont="1" applyBorder="1">
      <alignment vertical="center"/>
    </xf>
    <xf numFmtId="0" fontId="0" fillId="0" borderId="7" xfId="0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178" fontId="4" fillId="0" borderId="9" xfId="0" applyNumberFormat="1" applyFont="1" applyBorder="1">
      <alignment vertical="center"/>
    </xf>
    <xf numFmtId="178" fontId="4" fillId="0" borderId="10" xfId="0" applyNumberFormat="1" applyFont="1" applyBorder="1">
      <alignment vertical="center"/>
    </xf>
    <xf numFmtId="178" fontId="4" fillId="0" borderId="11" xfId="0" applyNumberFormat="1" applyFont="1" applyBorder="1">
      <alignment vertical="center"/>
    </xf>
    <xf numFmtId="0" fontId="1" fillId="0" borderId="1" xfId="0" applyFont="1" applyBorder="1" applyAlignment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180" fontId="0" fillId="0" borderId="4" xfId="0" applyNumberFormat="1" applyBorder="1" applyAlignment="1">
      <alignment horizontal="center"/>
    </xf>
    <xf numFmtId="177" fontId="0" fillId="0" borderId="1" xfId="0" applyNumberFormat="1" applyBorder="1" applyAlignment="1">
      <alignment horizontal="center"/>
    </xf>
    <xf numFmtId="177" fontId="0" fillId="0" borderId="1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77" fontId="2" fillId="0" borderId="1" xfId="0" applyNumberFormat="1" applyFont="1" applyBorder="1" applyAlignment="1">
      <alignment horizontal="center" vertical="center"/>
    </xf>
    <xf numFmtId="176" fontId="0" fillId="0" borderId="4" xfId="0" applyNumberFormat="1" applyBorder="1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center"/>
    </xf>
    <xf numFmtId="181" fontId="0" fillId="0" borderId="1" xfId="0" applyNumberFormat="1" applyBorder="1" applyAlignment="1">
      <alignment horizontal="center"/>
    </xf>
    <xf numFmtId="2" fontId="0" fillId="0" borderId="0" xfId="0" applyNumberFormat="1">
      <alignment vertical="center"/>
    </xf>
    <xf numFmtId="0" fontId="0" fillId="0" borderId="0" xfId="0" applyAlignment="1"/>
    <xf numFmtId="176" fontId="0" fillId="0" borderId="0" xfId="0" applyNumberFormat="1" applyAlignment="1">
      <alignment horizontal="center"/>
    </xf>
    <xf numFmtId="176" fontId="1" fillId="0" borderId="0" xfId="0" applyNumberFormat="1" applyFont="1" applyAlignment="1">
      <alignment horizontal="center" vertical="center"/>
    </xf>
    <xf numFmtId="0" fontId="1" fillId="0" borderId="0" xfId="0" applyFont="1">
      <alignment vertical="center"/>
    </xf>
    <xf numFmtId="177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1" fillId="0" borderId="12" xfId="0" applyFont="1" applyBorder="1">
      <alignment vertical="center"/>
    </xf>
    <xf numFmtId="0" fontId="1" fillId="0" borderId="13" xfId="0" applyFont="1" applyBorder="1">
      <alignment vertical="center"/>
    </xf>
    <xf numFmtId="49" fontId="1" fillId="0" borderId="1" xfId="0" applyNumberFormat="1" applyFont="1" applyBorder="1" applyAlignment="1">
      <alignment horizontal="right" vertical="center"/>
    </xf>
    <xf numFmtId="49" fontId="1" fillId="0" borderId="12" xfId="0" applyNumberFormat="1" applyFont="1" applyBorder="1" applyAlignment="1">
      <alignment horizontal="right" vertical="center"/>
    </xf>
    <xf numFmtId="0" fontId="1" fillId="0" borderId="14" xfId="0" applyFont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181" fontId="0" fillId="0" borderId="14" xfId="0" applyNumberFormat="1" applyBorder="1">
      <alignment vertical="center"/>
    </xf>
    <xf numFmtId="0" fontId="0" fillId="0" borderId="6" xfId="0" applyBorder="1" applyAlignment="1">
      <alignment horizontal="right" vertical="center"/>
    </xf>
    <xf numFmtId="2" fontId="0" fillId="0" borderId="6" xfId="0" applyNumberFormat="1" applyBorder="1">
      <alignment vertical="center"/>
    </xf>
    <xf numFmtId="181" fontId="0" fillId="0" borderId="0" xfId="0" applyNumberFormat="1">
      <alignment vertical="center"/>
    </xf>
    <xf numFmtId="176" fontId="0" fillId="0" borderId="7" xfId="0" applyNumberFormat="1" applyBorder="1">
      <alignment vertical="center"/>
    </xf>
    <xf numFmtId="0" fontId="0" fillId="0" borderId="9" xfId="0" applyBorder="1" applyAlignment="1">
      <alignment horizontal="right" vertical="center"/>
    </xf>
    <xf numFmtId="0" fontId="0" fillId="0" borderId="9" xfId="0" applyBorder="1">
      <alignment vertical="center"/>
    </xf>
    <xf numFmtId="0" fontId="0" fillId="0" borderId="11" xfId="0" applyBorder="1">
      <alignment vertical="center"/>
    </xf>
    <xf numFmtId="0" fontId="6" fillId="0" borderId="9" xfId="0" applyFont="1" applyBorder="1">
      <alignment vertical="center"/>
    </xf>
    <xf numFmtId="0" fontId="2" fillId="0" borderId="10" xfId="0" applyFont="1" applyBorder="1">
      <alignment vertical="center"/>
    </xf>
    <xf numFmtId="0" fontId="0" fillId="0" borderId="15" xfId="0" applyBorder="1" applyAlignment="1">
      <alignment horizontal="center" vertical="center"/>
    </xf>
    <xf numFmtId="177" fontId="0" fillId="0" borderId="5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177" fontId="2" fillId="0" borderId="5" xfId="0" applyNumberFormat="1" applyFont="1" applyBorder="1" applyAlignment="1">
      <alignment horizontal="center" vertical="center"/>
    </xf>
    <xf numFmtId="176" fontId="4" fillId="0" borderId="9" xfId="0" applyNumberFormat="1" applyFont="1" applyBorder="1">
      <alignment vertical="center"/>
    </xf>
    <xf numFmtId="0" fontId="4" fillId="0" borderId="0" xfId="0" applyFont="1">
      <alignment vertical="center"/>
    </xf>
    <xf numFmtId="176" fontId="1" fillId="0" borderId="0" xfId="0" applyNumberFormat="1" applyFont="1">
      <alignment vertical="center"/>
    </xf>
    <xf numFmtId="0" fontId="2" fillId="0" borderId="9" xfId="0" applyFont="1" applyBorder="1">
      <alignment vertical="center"/>
    </xf>
    <xf numFmtId="0" fontId="0" fillId="0" borderId="15" xfId="0" applyBorder="1">
      <alignment vertical="center"/>
    </xf>
    <xf numFmtId="2" fontId="0" fillId="0" borderId="0" xfId="0" applyNumberFormat="1" applyAlignment="1">
      <alignment horizontal="center" vertical="center"/>
    </xf>
    <xf numFmtId="177" fontId="0" fillId="0" borderId="5" xfId="0" applyNumberFormat="1" applyBorder="1">
      <alignment vertical="center"/>
    </xf>
    <xf numFmtId="177" fontId="2" fillId="0" borderId="5" xfId="0" applyNumberFormat="1" applyFont="1" applyBorder="1">
      <alignment vertical="center"/>
    </xf>
    <xf numFmtId="181" fontId="0" fillId="0" borderId="0" xfId="0" applyNumberFormat="1" applyAlignment="1">
      <alignment horizontal="center" vertical="center"/>
    </xf>
    <xf numFmtId="177" fontId="0" fillId="0" borderId="15" xfId="0" applyNumberFormat="1" applyBorder="1">
      <alignment vertical="center"/>
    </xf>
    <xf numFmtId="0" fontId="7" fillId="0" borderId="0" xfId="0" applyFont="1">
      <alignment vertical="center"/>
    </xf>
    <xf numFmtId="0" fontId="11" fillId="0" borderId="0" xfId="0" applyFont="1" applyAlignment="1"/>
    <xf numFmtId="0" fontId="10" fillId="0" borderId="1" xfId="0" applyFont="1" applyBorder="1">
      <alignment vertical="center"/>
    </xf>
    <xf numFmtId="2" fontId="0" fillId="0" borderId="0" xfId="0" applyNumberFormat="1" applyAlignment="1"/>
    <xf numFmtId="0" fontId="10" fillId="0" borderId="15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2" fontId="13" fillId="2" borderId="1" xfId="0" applyNumberFormat="1" applyFont="1" applyFill="1" applyBorder="1" applyAlignment="1"/>
    <xf numFmtId="0" fontId="14" fillId="0" borderId="8" xfId="0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2">
    <cellStyle name="常规" xfId="0" builtinId="0"/>
    <cellStyle name="常规 7" xfId="1" xr:uid="{00000000-0005-0000-0000-000031000000}"/>
  </cellStyles>
  <dxfs count="0"/>
  <tableStyles count="0" defaultTableStyle="TableStyleMedium2" defaultPivotStyle="PivotStyleLight16"/>
  <colors>
    <mruColors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4610017497812775E-2"/>
                  <c:y val="-0.1387270341207349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FCIM!$E$15:$E$18</c:f>
              <c:numCache>
                <c:formatCode>General</c:formatCode>
                <c:ptCount val="4"/>
                <c:pt idx="0">
                  <c:v>-1.6020599913279623</c:v>
                </c:pt>
                <c:pt idx="1">
                  <c:v>-0.52287874528033762</c:v>
                </c:pt>
                <c:pt idx="2">
                  <c:v>1</c:v>
                </c:pt>
                <c:pt idx="3">
                  <c:v>0.69897000433601886</c:v>
                </c:pt>
              </c:numCache>
            </c:numRef>
          </c:xVal>
          <c:yVal>
            <c:numRef>
              <c:f>FCIM!$F$15:$F$18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2D-4F56-BC2D-F2CDA983A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3521200"/>
        <c:axId val="1473520240"/>
      </c:scatterChart>
      <c:valAx>
        <c:axId val="1473521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3520240"/>
        <c:crosses val="autoZero"/>
        <c:crossBetween val="midCat"/>
      </c:valAx>
      <c:valAx>
        <c:axId val="147352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3521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235 Vd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493000874890601E-2"/>
          <c:y val="0.17171296296296301"/>
          <c:w val="0.72411942705114096"/>
          <c:h val="0.79556367740721801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91596940443711E-2"/>
                  <c:y val="0.3103263656353499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zh-CN"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Vdss_Allometry!$E$24:$E$27</c:f>
              <c:numCache>
                <c:formatCode>General</c:formatCode>
                <c:ptCount val="4"/>
                <c:pt idx="0">
                  <c:v>-1.6020599913279623</c:v>
                </c:pt>
                <c:pt idx="1">
                  <c:v>-0.52287874528033762</c:v>
                </c:pt>
                <c:pt idx="2">
                  <c:v>1</c:v>
                </c:pt>
                <c:pt idx="3" formatCode="0.000">
                  <c:v>0.69897000433601886</c:v>
                </c:pt>
              </c:numCache>
            </c:numRef>
          </c:xVal>
          <c:yVal>
            <c:numRef>
              <c:f>Vdss_Allometry!$H$24:$H$27</c:f>
              <c:numCache>
                <c:formatCode>0.0</c:formatCode>
                <c:ptCount val="4"/>
                <c:pt idx="0">
                  <c:v>-2.6478174818886377</c:v>
                </c:pt>
                <c:pt idx="1">
                  <c:v>-0.82390874094431876</c:v>
                </c:pt>
                <c:pt idx="3">
                  <c:v>-0.3010299956639812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09-47A5-8DB7-EAFDAE71C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227728"/>
        <c:axId val="773232320"/>
      </c:scatterChart>
      <c:valAx>
        <c:axId val="773227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3232320"/>
        <c:crosses val="autoZero"/>
        <c:crossBetween val="midCat"/>
      </c:valAx>
      <c:valAx>
        <c:axId val="77323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3227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028044145945295"/>
          <c:y val="0.50207242634647498"/>
          <c:w val="0.23692950906664201"/>
          <c:h val="0.209980930830923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 Vd corretced by</a:t>
            </a:r>
            <a:r>
              <a:rPr lang="en-US" altLang="zh-CN" baseline="0"/>
              <a:t> </a:t>
            </a:r>
            <a:r>
              <a:rPr lang="en-US" altLang="zh-CN"/>
              <a:t>fu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37045935723291E-2"/>
          <c:y val="0.16647052146004701"/>
          <c:w val="0.84042819420986303"/>
          <c:h val="0.6944857122217520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1.9216390276271901E-2"/>
                  <c:y val="-7.364654184582070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zh-CN"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Vdss_Allometry!$E$24:$E$27</c:f>
              <c:numCache>
                <c:formatCode>General</c:formatCode>
                <c:ptCount val="4"/>
                <c:pt idx="0">
                  <c:v>-1.6020599913279623</c:v>
                </c:pt>
                <c:pt idx="1">
                  <c:v>-0.52287874528033762</c:v>
                </c:pt>
                <c:pt idx="2">
                  <c:v>1</c:v>
                </c:pt>
                <c:pt idx="3" formatCode="0.000">
                  <c:v>0.69897000433601886</c:v>
                </c:pt>
              </c:numCache>
            </c:numRef>
          </c:xVal>
          <c:yVal>
            <c:numRef>
              <c:f>Vdss_Allometry!$H$40:$H$43</c:f>
              <c:numCache>
                <c:formatCode>General</c:formatCode>
                <c:ptCount val="4"/>
                <c:pt idx="0">
                  <c:v>0.57403126772771884</c:v>
                </c:pt>
                <c:pt idx="1">
                  <c:v>0.96926538302383158</c:v>
                </c:pt>
                <c:pt idx="2">
                  <c:v>1.9249918284397733</c:v>
                </c:pt>
                <c:pt idx="3">
                  <c:v>1.853871964321762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FD-497C-93B4-B8EC65EAF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227728"/>
        <c:axId val="773232320"/>
      </c:scatterChart>
      <c:valAx>
        <c:axId val="773227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Log(BW)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0.44772533720294"/>
              <c:y val="0.88192608951403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3232320"/>
        <c:crosses val="autoZero"/>
        <c:crossBetween val="midCat"/>
      </c:valAx>
      <c:valAx>
        <c:axId val="77323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Log(Vd/fu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1.2662178556985501E-2"/>
              <c:y val="0.392324124622036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3227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CL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 alt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lang="zh-CN"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altLang="zh-CN" baseline="0"/>
                      <a:t>y = </a:t>
                    </a:r>
                    <a:r>
                      <a:rPr lang="en-US" altLang="zh-CN" baseline="0">
                        <a:solidFill>
                          <a:srgbClr val="FF0000"/>
                        </a:solidFill>
                      </a:rPr>
                      <a:t>1.3475</a:t>
                    </a:r>
                    <a:r>
                      <a:rPr lang="en-US" altLang="zh-CN" baseline="0"/>
                      <a:t>x - 0.6231</a:t>
                    </a:r>
                    <a:br>
                      <a:rPr lang="en-US" altLang="zh-CN" baseline="0"/>
                    </a:br>
                    <a:r>
                      <a:rPr lang="en-US" altLang="zh-CN" baseline="0"/>
                      <a:t>R² = 0.8962</a:t>
                    </a:r>
                    <a:endParaRPr lang="en-US" altLang="zh-CN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zh-CN"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 altLang="zh-CN"/>
                </a:p>
              </c:txPr>
            </c:trendlineLbl>
          </c:trendline>
          <c:xVal>
            <c:numRef>
              <c:f>'FICM R-H'!$J$14:$J$17</c:f>
              <c:numCache>
                <c:formatCode>0.000</c:formatCode>
                <c:ptCount val="4"/>
                <c:pt idx="0">
                  <c:v>-1.6020599913279623</c:v>
                </c:pt>
                <c:pt idx="1">
                  <c:v>-0.52287874528033762</c:v>
                </c:pt>
                <c:pt idx="2">
                  <c:v>1</c:v>
                </c:pt>
                <c:pt idx="3">
                  <c:v>0.69897000433601886</c:v>
                </c:pt>
              </c:numCache>
            </c:numRef>
          </c:xVal>
          <c:yVal>
            <c:numRef>
              <c:f>'FICM R-H'!$K$14:$K$17</c:f>
              <c:numCache>
                <c:formatCode>0.000</c:formatCode>
                <c:ptCount val="4"/>
                <c:pt idx="0">
                  <c:v>-3.024568191490737</c:v>
                </c:pt>
                <c:pt idx="1">
                  <c:v>-0.78425671736239499</c:v>
                </c:pt>
                <c:pt idx="2">
                  <c:v>1.0748164406451748</c:v>
                </c:pt>
                <c:pt idx="3">
                  <c:v>-0.33254704711004607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EF-4E9E-8A10-B2DF49DA2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519887"/>
        <c:axId val="412394559"/>
      </c:scatterChart>
      <c:valAx>
        <c:axId val="298519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200"/>
                  <a:t>Log(BW)</a:t>
                </a:r>
                <a:endParaRPr lang="zh-CN" alt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12394559"/>
        <c:crosses val="autoZero"/>
        <c:crossBetween val="midCat"/>
      </c:valAx>
      <c:valAx>
        <c:axId val="412394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200"/>
                  <a:t>Log(CL</a:t>
                </a:r>
                <a:r>
                  <a:rPr lang="zh-CN" altLang="en-US" sz="1200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85198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chart" Target="../charts/chart2.xml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4</xdr:row>
      <xdr:rowOff>142875</xdr:rowOff>
    </xdr:from>
    <xdr:to>
      <xdr:col>9</xdr:col>
      <xdr:colOff>335165</xdr:colOff>
      <xdr:row>7</xdr:row>
      <xdr:rowOff>48087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C1EDFB9-286D-4976-B3E9-A65C0AD13A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0" y="885825"/>
          <a:ext cx="6002540" cy="448137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8</xdr:row>
      <xdr:rowOff>158750</xdr:rowOff>
    </xdr:from>
    <xdr:to>
      <xdr:col>14</xdr:col>
      <xdr:colOff>304800</xdr:colOff>
      <xdr:row>26</xdr:row>
      <xdr:rowOff>6350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756F647B-735C-7D66-FAA3-DDAF958A54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34925</xdr:colOff>
      <xdr:row>20</xdr:row>
      <xdr:rowOff>44450</xdr:rowOff>
    </xdr:from>
    <xdr:to>
      <xdr:col>15</xdr:col>
      <xdr:colOff>736600</xdr:colOff>
      <xdr:row>35</xdr:row>
      <xdr:rowOff>117475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47625</xdr:colOff>
      <xdr:row>19</xdr:row>
      <xdr:rowOff>0</xdr:rowOff>
    </xdr:from>
    <xdr:to>
      <xdr:col>2</xdr:col>
      <xdr:colOff>591820</xdr:colOff>
      <xdr:row>22</xdr:row>
      <xdr:rowOff>2273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 l="19484" t="23980" b="1742"/>
        <a:stretch>
          <a:fillRect/>
        </a:stretch>
      </xdr:blipFill>
      <xdr:spPr>
        <a:xfrm>
          <a:off x="47625" y="3438525"/>
          <a:ext cx="1915795" cy="544830"/>
        </a:xfrm>
        <a:prstGeom prst="rect">
          <a:avLst/>
        </a:prstGeom>
      </xdr:spPr>
    </xdr:pic>
    <xdr:clientData/>
  </xdr:twoCellAnchor>
  <xdr:twoCellAnchor>
    <xdr:from>
      <xdr:col>8</xdr:col>
      <xdr:colOff>549275</xdr:colOff>
      <xdr:row>36</xdr:row>
      <xdr:rowOff>152399</xdr:rowOff>
    </xdr:from>
    <xdr:to>
      <xdr:col>15</xdr:col>
      <xdr:colOff>146050</xdr:colOff>
      <xdr:row>50</xdr:row>
      <xdr:rowOff>41274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210994</xdr:colOff>
      <xdr:row>19</xdr:row>
      <xdr:rowOff>63503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9812020" cy="35020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387350</xdr:colOff>
      <xdr:row>0</xdr:row>
      <xdr:rowOff>175078</xdr:rowOff>
    </xdr:from>
    <xdr:to>
      <xdr:col>6</xdr:col>
      <xdr:colOff>281867</xdr:colOff>
      <xdr:row>16</xdr:row>
      <xdr:rowOff>85219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7350" y="174625"/>
          <a:ext cx="4008755" cy="2806065"/>
        </a:xfrm>
        <a:prstGeom prst="rect">
          <a:avLst/>
        </a:prstGeom>
      </xdr:spPr>
    </xdr:pic>
    <xdr:clientData/>
  </xdr:twoCellAnchor>
  <xdr:twoCellAnchor>
    <xdr:from>
      <xdr:col>11</xdr:col>
      <xdr:colOff>742950</xdr:colOff>
      <xdr:row>13</xdr:row>
      <xdr:rowOff>133350</xdr:rowOff>
    </xdr:from>
    <xdr:to>
      <xdr:col>18</xdr:col>
      <xdr:colOff>338610</xdr:colOff>
      <xdr:row>29</xdr:row>
      <xdr:rowOff>105024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主题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5F00A-2703-4ECC-B63B-6C3F8F09F979}">
  <sheetPr>
    <tabColor rgb="FFFFFF00"/>
  </sheetPr>
  <dimension ref="B4:J30"/>
  <sheetViews>
    <sheetView tabSelected="1" workbookViewId="0">
      <selection activeCell="F9" sqref="F9"/>
    </sheetView>
  </sheetViews>
  <sheetFormatPr defaultRowHeight="14" x14ac:dyDescent="0.3"/>
  <cols>
    <col min="3" max="3" width="17" customWidth="1"/>
    <col min="4" max="4" width="12.5" customWidth="1"/>
  </cols>
  <sheetData>
    <row r="4" spans="2:10" ht="15.5" x14ac:dyDescent="0.35">
      <c r="B4" s="74" t="s">
        <v>40</v>
      </c>
      <c r="C4" s="35"/>
      <c r="D4" s="35"/>
      <c r="E4" s="35"/>
      <c r="F4" s="35"/>
      <c r="G4" s="35"/>
      <c r="H4" s="35"/>
      <c r="I4" s="35"/>
      <c r="J4" s="35"/>
    </row>
    <row r="5" spans="2:10" x14ac:dyDescent="0.3">
      <c r="B5" s="35"/>
      <c r="C5" s="35"/>
      <c r="D5" s="35"/>
      <c r="E5" s="35"/>
      <c r="F5" s="35"/>
      <c r="G5" s="35"/>
      <c r="H5" s="35"/>
      <c r="I5" s="35"/>
      <c r="J5" s="35"/>
    </row>
    <row r="6" spans="2:10" x14ac:dyDescent="0.3">
      <c r="B6" s="35"/>
      <c r="C6" s="35"/>
      <c r="D6" s="35"/>
      <c r="E6" s="35"/>
      <c r="F6" s="35"/>
      <c r="G6" s="35"/>
      <c r="H6" s="35"/>
      <c r="I6" s="35"/>
      <c r="J6" s="35"/>
    </row>
    <row r="7" spans="2:10" x14ac:dyDescent="0.3">
      <c r="B7" s="35"/>
      <c r="C7" s="35"/>
      <c r="D7" s="35"/>
      <c r="E7" s="35"/>
      <c r="F7" s="35"/>
      <c r="G7" s="35"/>
      <c r="H7" s="35"/>
      <c r="I7" s="35"/>
      <c r="J7" s="35"/>
    </row>
    <row r="8" spans="2:10" x14ac:dyDescent="0.3">
      <c r="B8" s="35"/>
      <c r="C8" s="35"/>
      <c r="D8" s="35"/>
      <c r="E8" s="35"/>
      <c r="F8" s="35"/>
      <c r="G8" s="35"/>
      <c r="H8" s="35"/>
      <c r="I8" s="35"/>
      <c r="J8" s="35"/>
    </row>
    <row r="14" spans="2:10" x14ac:dyDescent="0.3">
      <c r="B14" s="16" t="s">
        <v>9</v>
      </c>
      <c r="C14" s="17" t="s">
        <v>10</v>
      </c>
      <c r="D14" s="17" t="s">
        <v>42</v>
      </c>
      <c r="E14" s="17" t="s">
        <v>20</v>
      </c>
      <c r="F14" s="75" t="s">
        <v>41</v>
      </c>
    </row>
    <row r="15" spans="2:10" x14ac:dyDescent="0.3">
      <c r="B15" s="16" t="s">
        <v>15</v>
      </c>
      <c r="C15" s="20">
        <v>2.5000000000000001E-2</v>
      </c>
      <c r="D15" s="20" t="e">
        <f>#REF!</f>
        <v>#REF!</v>
      </c>
      <c r="E15" s="1">
        <f>LOG10(C15)</f>
        <v>-1.6020599913279623</v>
      </c>
      <c r="F15" s="1" t="e">
        <f>LOG10(D15)</f>
        <v>#REF!</v>
      </c>
    </row>
    <row r="16" spans="2:10" x14ac:dyDescent="0.3">
      <c r="B16" s="16" t="s">
        <v>16</v>
      </c>
      <c r="C16" s="20">
        <v>0.3</v>
      </c>
      <c r="D16" s="20" t="e">
        <f>#REF!</f>
        <v>#REF!</v>
      </c>
      <c r="E16" s="1">
        <f t="shared" ref="E16:E18" si="0">LOG10(C16)</f>
        <v>-0.52287874528033762</v>
      </c>
      <c r="F16" s="1" t="e">
        <f t="shared" ref="F16:F18" si="1">LOG10(D16)</f>
        <v>#REF!</v>
      </c>
    </row>
    <row r="17" spans="2:6" x14ac:dyDescent="0.3">
      <c r="B17" s="16" t="s">
        <v>17</v>
      </c>
      <c r="C17" s="20">
        <v>10</v>
      </c>
      <c r="D17" s="20" t="e">
        <f>#REF!</f>
        <v>#REF!</v>
      </c>
      <c r="E17" s="1">
        <f t="shared" si="0"/>
        <v>1</v>
      </c>
      <c r="F17" s="1" t="e">
        <f t="shared" si="1"/>
        <v>#REF!</v>
      </c>
    </row>
    <row r="18" spans="2:6" x14ac:dyDescent="0.3">
      <c r="B18" s="16" t="s">
        <v>18</v>
      </c>
      <c r="C18" s="20">
        <v>5</v>
      </c>
      <c r="D18" s="20" t="e">
        <f>#REF!</f>
        <v>#REF!</v>
      </c>
      <c r="E18" s="1">
        <f t="shared" si="0"/>
        <v>0.69897000433601886</v>
      </c>
      <c r="F18" s="1" t="e">
        <f t="shared" si="1"/>
        <v>#REF!</v>
      </c>
    </row>
    <row r="19" spans="2:6" x14ac:dyDescent="0.3">
      <c r="B19" s="31" t="s">
        <v>19</v>
      </c>
      <c r="C19" s="32">
        <v>60</v>
      </c>
      <c r="D19" s="32"/>
    </row>
    <row r="23" spans="2:6" x14ac:dyDescent="0.3">
      <c r="B23" s="35" t="s">
        <v>32</v>
      </c>
      <c r="C23" s="76">
        <f>10^(0.3837)</f>
        <v>2.4193572366076026</v>
      </c>
      <c r="D23" s="35"/>
      <c r="E23" s="35"/>
      <c r="F23" s="35"/>
    </row>
    <row r="24" spans="2:6" x14ac:dyDescent="0.3">
      <c r="B24" s="35" t="s">
        <v>48</v>
      </c>
      <c r="C24" s="76" t="e">
        <f>#REF!</f>
        <v>#REF!</v>
      </c>
      <c r="D24" s="35"/>
      <c r="E24" s="35"/>
      <c r="F24" s="35"/>
    </row>
    <row r="25" spans="2:6" x14ac:dyDescent="0.3">
      <c r="B25" s="35" t="s">
        <v>47</v>
      </c>
      <c r="C25" s="76" t="e">
        <f>#REF!</f>
        <v>#REF!</v>
      </c>
      <c r="D25" s="35"/>
      <c r="E25" s="35"/>
      <c r="F25" s="35"/>
    </row>
    <row r="26" spans="2:6" x14ac:dyDescent="0.3">
      <c r="B26" s="35" t="s">
        <v>43</v>
      </c>
      <c r="C26" s="76" t="e">
        <f>C24/C25</f>
        <v>#REF!</v>
      </c>
      <c r="D26" s="35"/>
      <c r="E26" s="35"/>
      <c r="F26" s="35"/>
    </row>
    <row r="27" spans="2:6" x14ac:dyDescent="0.3">
      <c r="B27" s="35"/>
      <c r="C27" s="76"/>
      <c r="D27" s="35"/>
      <c r="E27" s="35"/>
      <c r="F27" s="35"/>
    </row>
    <row r="28" spans="2:6" x14ac:dyDescent="0.3">
      <c r="C28" s="77" t="s">
        <v>46</v>
      </c>
      <c r="D28" s="77" t="s">
        <v>46</v>
      </c>
    </row>
    <row r="29" spans="2:6" x14ac:dyDescent="0.3">
      <c r="C29" s="80" t="s">
        <v>44</v>
      </c>
      <c r="D29" s="78" t="s">
        <v>45</v>
      </c>
    </row>
    <row r="30" spans="2:6" x14ac:dyDescent="0.3">
      <c r="B30" s="35"/>
      <c r="C30" s="33" t="e">
        <f>33.35*(C23/C26)^0.77</f>
        <v>#REF!</v>
      </c>
      <c r="D30" s="79" t="e">
        <f>C30*0.06</f>
        <v>#REF!</v>
      </c>
    </row>
  </sheetData>
  <phoneticPr fontId="9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23:Q59"/>
  <sheetViews>
    <sheetView topLeftCell="A13" workbookViewId="0">
      <selection activeCell="H46" sqref="H46"/>
    </sheetView>
  </sheetViews>
  <sheetFormatPr defaultColWidth="9" defaultRowHeight="14" x14ac:dyDescent="0.3"/>
  <cols>
    <col min="5" max="5" width="9.83203125" customWidth="1"/>
    <col min="6" max="6" width="21.83203125" customWidth="1"/>
    <col min="8" max="8" width="13.33203125" customWidth="1"/>
    <col min="16" max="16" width="16.4140625" customWidth="1"/>
    <col min="18" max="18" width="13.6640625" customWidth="1"/>
    <col min="19" max="19" width="8.6640625" customWidth="1"/>
  </cols>
  <sheetData>
    <row r="23" spans="3:17" x14ac:dyDescent="0.3">
      <c r="C23" s="41" t="s">
        <v>0</v>
      </c>
      <c r="D23" s="41" t="s">
        <v>22</v>
      </c>
      <c r="E23" s="42" t="s">
        <v>23</v>
      </c>
      <c r="F23" s="43" t="s">
        <v>6</v>
      </c>
      <c r="G23" s="44" t="s">
        <v>8</v>
      </c>
      <c r="H23" s="45" t="s">
        <v>24</v>
      </c>
    </row>
    <row r="24" spans="3:17" x14ac:dyDescent="0.3">
      <c r="C24" s="46" t="s">
        <v>15</v>
      </c>
      <c r="D24" s="47">
        <v>2.5000000000000001E-2</v>
      </c>
      <c r="E24" s="48">
        <f>LOG10(D24)</f>
        <v>-1.6020599913279623</v>
      </c>
      <c r="F24">
        <v>0.09</v>
      </c>
      <c r="G24" s="47">
        <v>2.2499999999999998E-3</v>
      </c>
      <c r="H24" s="49">
        <f>LOG(G24)</f>
        <v>-2.6478174818886377</v>
      </c>
    </row>
    <row r="25" spans="3:17" x14ac:dyDescent="0.3">
      <c r="C25" s="50" t="s">
        <v>16</v>
      </c>
      <c r="D25" s="51">
        <v>0.3</v>
      </c>
      <c r="E25" s="9">
        <f t="shared" ref="E25:E28" si="0">LOG10(D25)</f>
        <v>-0.52287874528033762</v>
      </c>
      <c r="F25">
        <v>0.5</v>
      </c>
      <c r="G25" s="11">
        <v>0.15</v>
      </c>
      <c r="H25" s="52">
        <f>LOG(G25)</f>
        <v>-0.82390874094431876</v>
      </c>
    </row>
    <row r="26" spans="3:17" x14ac:dyDescent="0.3">
      <c r="C26" s="50" t="s">
        <v>17</v>
      </c>
      <c r="D26" s="11">
        <v>10</v>
      </c>
      <c r="E26" s="9">
        <f t="shared" si="0"/>
        <v>1</v>
      </c>
      <c r="G26" s="11">
        <v>12.2</v>
      </c>
      <c r="H26" s="52"/>
    </row>
    <row r="27" spans="3:17" x14ac:dyDescent="0.3">
      <c r="C27" s="50" t="s">
        <v>18</v>
      </c>
      <c r="D27" s="11">
        <v>5</v>
      </c>
      <c r="E27" s="53">
        <f t="shared" si="0"/>
        <v>0.69897000433601886</v>
      </c>
      <c r="F27">
        <v>0.1</v>
      </c>
      <c r="G27" s="11">
        <v>0.5</v>
      </c>
      <c r="H27" s="52">
        <f>LOG(G27)</f>
        <v>-0.3010299956639812</v>
      </c>
    </row>
    <row r="28" spans="3:17" x14ac:dyDescent="0.3">
      <c r="C28" s="54" t="s">
        <v>1</v>
      </c>
      <c r="D28" s="55">
        <v>70</v>
      </c>
      <c r="E28" s="56">
        <f t="shared" si="0"/>
        <v>1.8450980400142569</v>
      </c>
      <c r="F28">
        <f>G28/D28</f>
        <v>0.76063082550151162</v>
      </c>
      <c r="G28" s="57">
        <f>10^H28</f>
        <v>53.244157785105813</v>
      </c>
      <c r="H28" s="58">
        <f>1.2287*E28-0.5408</f>
        <v>1.7262719617655176</v>
      </c>
      <c r="Q28" s="73"/>
    </row>
    <row r="29" spans="3:17" x14ac:dyDescent="0.3">
      <c r="G29" s="57">
        <f>10^H29</f>
        <v>11.99027700502498</v>
      </c>
      <c r="H29" s="58">
        <f>1.0069*E28-0.779</f>
        <v>1.0788292164903552</v>
      </c>
    </row>
    <row r="39" spans="3:8" x14ac:dyDescent="0.3">
      <c r="E39" t="s">
        <v>25</v>
      </c>
      <c r="F39" s="44" t="s">
        <v>8</v>
      </c>
      <c r="G39" t="s">
        <v>26</v>
      </c>
      <c r="H39" t="s">
        <v>27</v>
      </c>
    </row>
    <row r="40" spans="3:8" x14ac:dyDescent="0.3">
      <c r="C40" s="46" t="s">
        <v>15</v>
      </c>
      <c r="D40" s="47">
        <v>2.5000000000000001E-2</v>
      </c>
      <c r="E40" s="59">
        <v>5.9999999999999995E-4</v>
      </c>
      <c r="F40" s="47">
        <v>2.2499999999999998E-3</v>
      </c>
      <c r="G40">
        <f>G24/E40</f>
        <v>3.75</v>
      </c>
      <c r="H40">
        <f>LOG(G40)</f>
        <v>0.57403126772771884</v>
      </c>
    </row>
    <row r="41" spans="3:8" x14ac:dyDescent="0.3">
      <c r="C41" s="50" t="s">
        <v>16</v>
      </c>
      <c r="D41" s="11">
        <v>0.3</v>
      </c>
      <c r="E41" s="60">
        <f>1.61/100</f>
        <v>1.61E-2</v>
      </c>
      <c r="F41" s="11">
        <v>0.15</v>
      </c>
      <c r="G41">
        <f>G25/E41</f>
        <v>9.316770186335404</v>
      </c>
      <c r="H41">
        <f>LOG(G41)</f>
        <v>0.96926538302383158</v>
      </c>
    </row>
    <row r="42" spans="3:8" x14ac:dyDescent="0.3">
      <c r="C42" s="61" t="s">
        <v>17</v>
      </c>
      <c r="D42" s="11">
        <v>10</v>
      </c>
      <c r="E42" s="62">
        <v>0.14499999999999999</v>
      </c>
      <c r="F42" s="11">
        <v>12.2</v>
      </c>
      <c r="G42">
        <f>G26/E42</f>
        <v>84.137931034482762</v>
      </c>
      <c r="H42">
        <f>LOG(G42)</f>
        <v>1.9249918284397733</v>
      </c>
    </row>
    <row r="43" spans="3:8" x14ac:dyDescent="0.3">
      <c r="C43" s="61" t="s">
        <v>18</v>
      </c>
      <c r="D43" s="11">
        <v>5</v>
      </c>
      <c r="E43">
        <v>7.0000000000000001E-3</v>
      </c>
      <c r="F43" s="11">
        <v>0.5</v>
      </c>
      <c r="G43">
        <f>G27/E43</f>
        <v>71.428571428571431</v>
      </c>
      <c r="H43">
        <f>LOG(G43)</f>
        <v>1.853871964321762</v>
      </c>
    </row>
    <row r="44" spans="3:8" x14ac:dyDescent="0.3">
      <c r="C44" t="s">
        <v>19</v>
      </c>
      <c r="D44" s="55">
        <v>70</v>
      </c>
      <c r="E44">
        <v>1.5E-3</v>
      </c>
      <c r="F44" s="63">
        <f>G44*E44</f>
        <v>0.38237880226651944</v>
      </c>
      <c r="G44" s="64">
        <f>10^H44</f>
        <v>254.91920151101294</v>
      </c>
      <c r="H44" s="64">
        <f>0.5513*E28+1.3892</f>
        <v>2.4064025494598598</v>
      </c>
    </row>
    <row r="45" spans="3:8" x14ac:dyDescent="0.3">
      <c r="F45" s="65"/>
      <c r="G45" s="66"/>
      <c r="H45" s="58"/>
    </row>
    <row r="51" spans="7:11" x14ac:dyDescent="0.3">
      <c r="I51" s="35"/>
    </row>
    <row r="52" spans="7:11" x14ac:dyDescent="0.3">
      <c r="I52" s="35"/>
    </row>
    <row r="54" spans="7:11" x14ac:dyDescent="0.3">
      <c r="G54" s="42"/>
      <c r="I54" s="38"/>
      <c r="K54" s="42"/>
    </row>
    <row r="55" spans="7:11" x14ac:dyDescent="0.3">
      <c r="G55" s="2"/>
      <c r="I55" s="67"/>
      <c r="J55" s="68"/>
      <c r="K55" s="2"/>
    </row>
    <row r="56" spans="7:11" x14ac:dyDescent="0.3">
      <c r="G56" s="2"/>
      <c r="I56" s="69"/>
      <c r="J56" s="68"/>
      <c r="K56" s="2"/>
    </row>
    <row r="57" spans="7:11" x14ac:dyDescent="0.3">
      <c r="G57" s="2"/>
      <c r="I57" s="70"/>
      <c r="J57" s="71"/>
      <c r="K57" s="2"/>
    </row>
    <row r="58" spans="7:11" x14ac:dyDescent="0.3">
      <c r="G58" s="2"/>
      <c r="I58" s="69"/>
      <c r="J58" s="71"/>
      <c r="K58" s="2"/>
    </row>
    <row r="59" spans="7:11" x14ac:dyDescent="0.3">
      <c r="I59" s="72"/>
      <c r="K59" s="2"/>
    </row>
  </sheetData>
  <phoneticPr fontId="9" type="noConversion"/>
  <pageMargins left="0.7" right="0.7" top="0.75" bottom="0.75" header="0.3" footer="0.3"/>
  <pageSetup paperSize="9" orientation="portrait"/>
  <headerFooter>
    <oddHeader>&amp;L&amp;"Calibri"&amp;10&amp;K008000 Insilico Medicine Restricted (Level 3)&amp;1#</oddHead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I3:Q24"/>
  <sheetViews>
    <sheetView workbookViewId="0">
      <selection activeCell="H46" sqref="H46"/>
    </sheetView>
  </sheetViews>
  <sheetFormatPr defaultColWidth="9" defaultRowHeight="14" x14ac:dyDescent="0.3"/>
  <cols>
    <col min="11" max="11" width="10.6640625" customWidth="1"/>
    <col min="12" max="12" width="13" customWidth="1"/>
  </cols>
  <sheetData>
    <row r="3" spans="9:17" x14ac:dyDescent="0.3">
      <c r="I3" s="16" t="s">
        <v>9</v>
      </c>
      <c r="J3" s="17" t="s">
        <v>10</v>
      </c>
      <c r="K3" s="17" t="s">
        <v>11</v>
      </c>
      <c r="L3" s="17" t="s">
        <v>12</v>
      </c>
      <c r="M3" s="18" t="s">
        <v>14</v>
      </c>
      <c r="N3" s="19" t="s">
        <v>7</v>
      </c>
      <c r="O3" s="17" t="s">
        <v>13</v>
      </c>
      <c r="Q3" s="16"/>
    </row>
    <row r="4" spans="9:17" x14ac:dyDescent="0.3">
      <c r="I4" s="16" t="s">
        <v>15</v>
      </c>
      <c r="J4" s="20">
        <v>2.5000000000000001E-2</v>
      </c>
      <c r="K4" s="21">
        <v>4.0000000000000002E-4</v>
      </c>
      <c r="L4" s="22">
        <v>2.93415723047175</v>
      </c>
      <c r="M4" s="23">
        <v>5.9999999999999995E-4</v>
      </c>
      <c r="N4" s="24">
        <v>9.4499999999999998E-4</v>
      </c>
      <c r="O4" s="25">
        <v>2.2499999999999998E-3</v>
      </c>
      <c r="Q4" s="16"/>
    </row>
    <row r="5" spans="9:17" x14ac:dyDescent="0.3">
      <c r="I5" s="16" t="s">
        <v>16</v>
      </c>
      <c r="J5" s="20">
        <v>0.3</v>
      </c>
      <c r="K5" s="20">
        <v>1.8E-3</v>
      </c>
      <c r="L5" s="22">
        <v>4.3662717370424202</v>
      </c>
      <c r="M5" s="26">
        <v>1.61E-2</v>
      </c>
      <c r="N5" s="27">
        <v>0.16434000000000001</v>
      </c>
      <c r="O5" s="28">
        <v>0.15</v>
      </c>
      <c r="Q5" s="16"/>
    </row>
    <row r="6" spans="9:17" x14ac:dyDescent="0.3">
      <c r="I6" s="16" t="s">
        <v>17</v>
      </c>
      <c r="J6" s="20">
        <v>10</v>
      </c>
      <c r="K6" s="20">
        <v>0.08</v>
      </c>
      <c r="L6" s="22">
        <v>22.155163610329499</v>
      </c>
      <c r="M6" s="29">
        <v>0.14499999999999999</v>
      </c>
      <c r="N6" s="27">
        <v>11.88</v>
      </c>
      <c r="O6" s="28">
        <v>12.2</v>
      </c>
      <c r="Q6" s="16"/>
    </row>
    <row r="7" spans="9:17" x14ac:dyDescent="0.3">
      <c r="I7" s="16" t="s">
        <v>18</v>
      </c>
      <c r="J7" s="20">
        <v>5</v>
      </c>
      <c r="K7" s="20">
        <v>0.09</v>
      </c>
      <c r="L7" s="22">
        <v>27.908706908950698</v>
      </c>
      <c r="M7" s="1">
        <v>7.0000000000000001E-3</v>
      </c>
      <c r="N7" s="30">
        <v>0.46500000000000002</v>
      </c>
      <c r="O7" s="28">
        <v>0.5</v>
      </c>
      <c r="Q7" s="16"/>
    </row>
    <row r="8" spans="9:17" x14ac:dyDescent="0.3">
      <c r="I8" s="31" t="s">
        <v>19</v>
      </c>
      <c r="J8" s="32">
        <v>70</v>
      </c>
      <c r="K8" s="32">
        <v>1.4</v>
      </c>
      <c r="L8" s="33">
        <v>88.287679349766904</v>
      </c>
      <c r="M8" s="1">
        <v>1.5E-3</v>
      </c>
      <c r="Q8" s="31"/>
    </row>
    <row r="9" spans="9:17" x14ac:dyDescent="0.3">
      <c r="L9" t="s">
        <v>28</v>
      </c>
      <c r="M9">
        <f>M4/M8</f>
        <v>0.39999999999999997</v>
      </c>
    </row>
    <row r="10" spans="9:17" x14ac:dyDescent="0.3">
      <c r="L10" t="s">
        <v>29</v>
      </c>
      <c r="M10" s="34">
        <f>M5/M8</f>
        <v>10.733333333333333</v>
      </c>
    </row>
    <row r="11" spans="9:17" x14ac:dyDescent="0.3">
      <c r="L11" t="s">
        <v>30</v>
      </c>
      <c r="M11">
        <f>M6/M8</f>
        <v>96.666666666666657</v>
      </c>
    </row>
    <row r="12" spans="9:17" x14ac:dyDescent="0.3">
      <c r="L12" t="s">
        <v>31</v>
      </c>
      <c r="M12">
        <f>M7/M8</f>
        <v>4.666666666666667</v>
      </c>
    </row>
    <row r="13" spans="9:17" x14ac:dyDescent="0.3">
      <c r="I13" s="35"/>
      <c r="J13" s="35" t="s">
        <v>20</v>
      </c>
      <c r="K13" s="35" t="s">
        <v>21</v>
      </c>
    </row>
    <row r="14" spans="9:17" x14ac:dyDescent="0.3">
      <c r="I14" s="16" t="s">
        <v>15</v>
      </c>
      <c r="J14" s="36">
        <f>LOG(J4)</f>
        <v>-1.6020599913279623</v>
      </c>
      <c r="K14" s="37">
        <f>LOG(N4)</f>
        <v>-3.024568191490737</v>
      </c>
    </row>
    <row r="15" spans="9:17" x14ac:dyDescent="0.3">
      <c r="I15" s="16" t="s">
        <v>16</v>
      </c>
      <c r="J15" s="36">
        <f t="shared" ref="J15:J18" si="0">LOG(J5)</f>
        <v>-0.52287874528033762</v>
      </c>
      <c r="K15" s="37">
        <f t="shared" ref="K15:K17" si="1">LOG(N5)</f>
        <v>-0.78425671736239499</v>
      </c>
    </row>
    <row r="16" spans="9:17" x14ac:dyDescent="0.3">
      <c r="I16" s="16" t="s">
        <v>17</v>
      </c>
      <c r="J16" s="36">
        <f t="shared" si="0"/>
        <v>1</v>
      </c>
      <c r="K16" s="37">
        <f t="shared" si="1"/>
        <v>1.0748164406451748</v>
      </c>
    </row>
    <row r="17" spans="9:11" x14ac:dyDescent="0.3">
      <c r="I17" s="16" t="s">
        <v>18</v>
      </c>
      <c r="J17" s="36">
        <f t="shared" si="0"/>
        <v>0.69897000433601886</v>
      </c>
      <c r="K17" s="37">
        <f t="shared" si="1"/>
        <v>-0.33254704711004607</v>
      </c>
    </row>
    <row r="18" spans="9:11" x14ac:dyDescent="0.3">
      <c r="I18" s="35"/>
      <c r="J18" s="36">
        <f t="shared" si="0"/>
        <v>1.8450980400142569</v>
      </c>
      <c r="K18" s="35"/>
    </row>
    <row r="19" spans="9:11" x14ac:dyDescent="0.3">
      <c r="J19" s="38" t="s">
        <v>32</v>
      </c>
      <c r="K19" s="37">
        <f>10^(-0.6231)</f>
        <v>0.23817709831782291</v>
      </c>
    </row>
    <row r="20" spans="9:11" x14ac:dyDescent="0.3">
      <c r="I20" s="31" t="s">
        <v>33</v>
      </c>
      <c r="K20" s="39">
        <f>33.35*(K19/M9)^0.77</f>
        <v>22.372918723545872</v>
      </c>
    </row>
    <row r="21" spans="9:11" x14ac:dyDescent="0.3">
      <c r="I21" t="s">
        <v>34</v>
      </c>
      <c r="J21" t="s">
        <v>35</v>
      </c>
      <c r="K21" s="39">
        <f>33.35*(K19/M10)^0.77</f>
        <v>1.7768189737700604</v>
      </c>
    </row>
    <row r="22" spans="9:11" x14ac:dyDescent="0.3">
      <c r="I22" t="s">
        <v>36</v>
      </c>
      <c r="K22" s="39">
        <f>33.35*(K19/M11)^0.77</f>
        <v>0.32707379195527786</v>
      </c>
    </row>
    <row r="23" spans="9:11" x14ac:dyDescent="0.3">
      <c r="K23" s="39">
        <f>33.35*(K19/M12)^0.77</f>
        <v>3.3742217219219288</v>
      </c>
    </row>
    <row r="24" spans="9:11" x14ac:dyDescent="0.3">
      <c r="K24" s="40"/>
    </row>
  </sheetData>
  <phoneticPr fontId="9" type="noConversion"/>
  <pageMargins left="0.7" right="0.7" top="0.75" bottom="0.75" header="0.3" footer="0.3"/>
  <headerFooter>
    <oddHeader>&amp;L&amp;"Calibri"&amp;10&amp;K008000 Insilico Medicine Restricted (Level 3)&amp;1#</oddHead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C3:H12"/>
  <sheetViews>
    <sheetView workbookViewId="0">
      <selection activeCell="H46" sqref="H46"/>
    </sheetView>
  </sheetViews>
  <sheetFormatPr defaultColWidth="9" defaultRowHeight="14" x14ac:dyDescent="0.3"/>
  <cols>
    <col min="7" max="7" width="13.33203125" customWidth="1"/>
  </cols>
  <sheetData>
    <row r="3" spans="3:8" x14ac:dyDescent="0.3">
      <c r="H3" t="s">
        <v>37</v>
      </c>
    </row>
    <row r="4" spans="3:8" x14ac:dyDescent="0.3">
      <c r="C4" s="1"/>
      <c r="D4" s="81" t="s">
        <v>38</v>
      </c>
      <c r="E4" s="82"/>
      <c r="F4" s="83"/>
      <c r="G4" s="2" t="s">
        <v>39</v>
      </c>
    </row>
    <row r="5" spans="3:8" x14ac:dyDescent="0.3">
      <c r="C5" s="3" t="s">
        <v>0</v>
      </c>
      <c r="D5" s="4"/>
      <c r="E5" s="5"/>
      <c r="F5" s="6"/>
    </row>
    <row r="6" spans="3:8" x14ac:dyDescent="0.3">
      <c r="C6" s="7" t="s">
        <v>2</v>
      </c>
      <c r="D6" s="8"/>
      <c r="F6" s="9">
        <v>47.08</v>
      </c>
      <c r="G6" s="10">
        <v>0.2</v>
      </c>
      <c r="H6">
        <v>0.06</v>
      </c>
    </row>
    <row r="7" spans="3:8" x14ac:dyDescent="0.3">
      <c r="C7" s="7" t="s">
        <v>3</v>
      </c>
      <c r="D7" s="11"/>
      <c r="F7" s="9">
        <v>65.290000000000006</v>
      </c>
      <c r="G7" s="2">
        <v>1.3</v>
      </c>
      <c r="H7">
        <v>1.61</v>
      </c>
    </row>
    <row r="8" spans="3:8" x14ac:dyDescent="0.3">
      <c r="C8" s="7" t="s">
        <v>4</v>
      </c>
      <c r="D8" s="11"/>
      <c r="F8" s="9">
        <v>65.2</v>
      </c>
      <c r="G8" s="2">
        <v>14.5</v>
      </c>
    </row>
    <row r="9" spans="3:8" x14ac:dyDescent="0.3">
      <c r="C9" s="7" t="s">
        <v>5</v>
      </c>
      <c r="D9" s="11"/>
      <c r="F9" s="9">
        <v>88.9</v>
      </c>
      <c r="G9" s="2">
        <v>1.5</v>
      </c>
      <c r="H9">
        <v>0.7</v>
      </c>
    </row>
    <row r="10" spans="3:8" x14ac:dyDescent="0.3">
      <c r="C10" s="12" t="s">
        <v>1</v>
      </c>
      <c r="D10" s="13"/>
      <c r="E10" s="14"/>
      <c r="F10" s="15"/>
      <c r="G10" s="10">
        <v>0.1</v>
      </c>
      <c r="H10">
        <v>0.15</v>
      </c>
    </row>
    <row r="12" spans="3:8" x14ac:dyDescent="0.3">
      <c r="F12">
        <f>AVERAGE(F6:F9)</f>
        <v>66.617500000000007</v>
      </c>
    </row>
  </sheetData>
  <mergeCells count="1">
    <mergeCell ref="D4:F4"/>
  </mergeCells>
  <phoneticPr fontId="9" type="noConversion"/>
  <pageMargins left="0.7" right="0.7" top="0.75" bottom="0.75" header="0.3" footer="0.3"/>
  <pageSetup paperSize="9" orientation="portrait"/>
  <headerFooter>
    <oddHeader>&amp;L&amp;"Calibri"&amp;10&amp;K008000 Insilico Medicine Restricted (Level 3)&amp;1#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FCIM</vt:lpstr>
      <vt:lpstr>Vdss_Allometry</vt:lpstr>
      <vt:lpstr>FICM R-H</vt:lpstr>
      <vt:lpstr>F%_Average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Luoheng Qin</dc:creator>
  <cp:lastModifiedBy>Rubin Tian</cp:lastModifiedBy>
  <dcterms:created xsi:type="dcterms:W3CDTF">2021-11-09T08:12:00Z</dcterms:created>
  <dcterms:modified xsi:type="dcterms:W3CDTF">2025-03-06T07:02:46Z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d8aa3e-aa35-4f2e-95f3-05374d5d1622_Enabled">
    <vt:lpwstr>true</vt:lpwstr>
  </property>
  <property fmtid="{D5CDD505-2E9C-101B-9397-08002B2CF9AE}" pid="3" name="MSIP_Label_47d8aa3e-aa35-4f2e-95f3-05374d5d1622_SetDate">
    <vt:lpwstr>2023-07-14T08:02:33Z</vt:lpwstr>
  </property>
  <property fmtid="{D5CDD505-2E9C-101B-9397-08002B2CF9AE}" pid="4" name="MSIP_Label_47d8aa3e-aa35-4f2e-95f3-05374d5d1622_Method">
    <vt:lpwstr>Standard</vt:lpwstr>
  </property>
  <property fmtid="{D5CDD505-2E9C-101B-9397-08002B2CF9AE}" pid="5" name="MSIP_Label_47d8aa3e-aa35-4f2e-95f3-05374d5d1622_Name">
    <vt:lpwstr>Confidential</vt:lpwstr>
  </property>
  <property fmtid="{D5CDD505-2E9C-101B-9397-08002B2CF9AE}" pid="6" name="MSIP_Label_47d8aa3e-aa35-4f2e-95f3-05374d5d1622_SiteId">
    <vt:lpwstr>882652e7-2223-403f-b7b3-1d36a88454da</vt:lpwstr>
  </property>
  <property fmtid="{D5CDD505-2E9C-101B-9397-08002B2CF9AE}" pid="7" name="MSIP_Label_47d8aa3e-aa35-4f2e-95f3-05374d5d1622_ActionId">
    <vt:lpwstr>ee2a120a-f899-4aa0-a3a3-aa1737eec04c</vt:lpwstr>
  </property>
  <property fmtid="{D5CDD505-2E9C-101B-9397-08002B2CF9AE}" pid="8" name="MSIP_Label_47d8aa3e-aa35-4f2e-95f3-05374d5d1622_ContentBits">
    <vt:lpwstr>1</vt:lpwstr>
  </property>
  <property fmtid="{D5CDD505-2E9C-101B-9397-08002B2CF9AE}" pid="9" name="MSIP_Label_6d5b1bb8-d80b-4ae7-b5f3-1fb67b3d0d01_Enabled">
    <vt:lpwstr>true</vt:lpwstr>
  </property>
  <property fmtid="{D5CDD505-2E9C-101B-9397-08002B2CF9AE}" pid="10" name="MSIP_Label_6d5b1bb8-d80b-4ae7-b5f3-1fb67b3d0d01_SetDate">
    <vt:lpwstr>2024-12-26T02:08:16Z</vt:lpwstr>
  </property>
  <property fmtid="{D5CDD505-2E9C-101B-9397-08002B2CF9AE}" pid="11" name="MSIP_Label_6d5b1bb8-d80b-4ae7-b5f3-1fb67b3d0d01_Method">
    <vt:lpwstr>Standard</vt:lpwstr>
  </property>
  <property fmtid="{D5CDD505-2E9C-101B-9397-08002B2CF9AE}" pid="12" name="MSIP_Label_6d5b1bb8-d80b-4ae7-b5f3-1fb67b3d0d01_Name">
    <vt:lpwstr>Confidential</vt:lpwstr>
  </property>
  <property fmtid="{D5CDD505-2E9C-101B-9397-08002B2CF9AE}" pid="13" name="MSIP_Label_6d5b1bb8-d80b-4ae7-b5f3-1fb67b3d0d01_SiteId">
    <vt:lpwstr>61720e46-9102-4f4f-8a6e-c127317411a8</vt:lpwstr>
  </property>
  <property fmtid="{D5CDD505-2E9C-101B-9397-08002B2CF9AE}" pid="14" name="MSIP_Label_6d5b1bb8-d80b-4ae7-b5f3-1fb67b3d0d01_ActionId">
    <vt:lpwstr>ad2c7a9b-eff5-425b-a15b-42e0f3d90aa0</vt:lpwstr>
  </property>
  <property fmtid="{D5CDD505-2E9C-101B-9397-08002B2CF9AE}" pid="15" name="MSIP_Label_6d5b1bb8-d80b-4ae7-b5f3-1fb67b3d0d01_ContentBits">
    <vt:lpwstr>1</vt:lpwstr>
  </property>
  <property fmtid="{D5CDD505-2E9C-101B-9397-08002B2CF9AE}" pid="16" name="ICV">
    <vt:lpwstr>D3B67823619D4B00B4FAC2BED08D7D54_13</vt:lpwstr>
  </property>
  <property fmtid="{D5CDD505-2E9C-101B-9397-08002B2CF9AE}" pid="17" name="KSOProductBuildVer">
    <vt:lpwstr>2052-11.1.0.14309</vt:lpwstr>
  </property>
</Properties>
</file>