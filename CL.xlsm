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2FA23F07-6F74-4861-AA28-1C03FE0CB6DE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CL and Vss in preclinical" sheetId="10" r:id="rId1"/>
    <sheet name="Vdss_Allometry" sheetId="2" state="hidden" r:id="rId2"/>
    <sheet name="FICM R-H" sheetId="8" state="hidden" r:id="rId3"/>
    <sheet name="F%_Average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H5" i="10"/>
  <c r="H6" i="10"/>
  <c r="H3" i="10"/>
  <c r="E5" i="10"/>
  <c r="F5" i="10" s="1"/>
  <c r="J5" i="10" s="1"/>
  <c r="E6" i="10"/>
  <c r="F6" i="10" s="1"/>
  <c r="K6" i="10"/>
  <c r="K5" i="10"/>
  <c r="K4" i="10"/>
  <c r="E4" i="10"/>
  <c r="F4" i="10" s="1"/>
  <c r="J4" i="10" s="1"/>
  <c r="K3" i="10"/>
  <c r="E3" i="10"/>
  <c r="F3" i="10" s="1"/>
  <c r="J3" i="10" s="1"/>
  <c r="J6" i="10" l="1"/>
  <c r="F12" i="3" l="1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K20" i="8" l="1"/>
  <c r="K21" i="8"/>
  <c r="K22" i="8"/>
  <c r="K23" i="8"/>
  <c r="H44" i="2"/>
  <c r="G44" i="2" s="1"/>
  <c r="F44" i="2" s="1"/>
  <c r="H28" i="2"/>
  <c r="G28" i="2" s="1"/>
  <c r="F28" i="2" s="1"/>
  <c r="H29" i="2"/>
  <c r="G29" i="2" s="1"/>
</calcChain>
</file>

<file path=xl/sharedStrings.xml><?xml version="1.0" encoding="utf-8"?>
<sst xmlns="http://schemas.openxmlformats.org/spreadsheetml/2006/main" count="72" uniqueCount="49">
  <si>
    <t>Species</t>
  </si>
  <si>
    <t>h</t>
  </si>
  <si>
    <t>m</t>
  </si>
  <si>
    <t>r</t>
  </si>
  <si>
    <t>d</t>
  </si>
  <si>
    <t>c</t>
  </si>
  <si>
    <t>Vdss (L/kg)</t>
  </si>
  <si>
    <t>Cl(L/h)</t>
  </si>
  <si>
    <t>Vdss (L)</t>
  </si>
  <si>
    <t>Animal</t>
  </si>
  <si>
    <t>Body Weight (kg)</t>
  </si>
  <si>
    <t>Brain Weight (kg)</t>
  </si>
  <si>
    <t>MLP (years)</t>
  </si>
  <si>
    <t>Vdss</t>
  </si>
  <si>
    <t>fu</t>
  </si>
  <si>
    <t>Mouse</t>
  </si>
  <si>
    <t>Rat</t>
  </si>
  <si>
    <t>Dog</t>
  </si>
  <si>
    <t>Monkey</t>
  </si>
  <si>
    <t>Human</t>
  </si>
  <si>
    <t>Log BW</t>
  </si>
  <si>
    <t>log CL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</si>
  <si>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</si>
  <si>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</si>
  <si>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</si>
  <si>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</si>
  <si>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</si>
  <si>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</si>
  <si>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</si>
  <si>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</si>
  <si>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</si>
  <si>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</si>
  <si>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</si>
  <si>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</si>
  <si>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</si>
  <si>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</si>
  <si>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</si>
  <si>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</si>
  <si>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</si>
  <si>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</si>
  <si>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CL(L/h)</t>
  </si>
  <si>
    <t>BW(kg)</t>
  </si>
  <si>
    <t>CL(mL/min)</t>
  </si>
  <si>
    <t>CL/fu</t>
  </si>
  <si>
    <t>Vss/fu</t>
  </si>
  <si>
    <t>Dose (mg/kg)</t>
  </si>
  <si>
    <t>Vss (L)</t>
  </si>
  <si>
    <t>Vd/F (L/kg)</t>
  </si>
  <si>
    <t>CL/F(mL/min/kg)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</si>
</sst>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0.0000"/>
    <numFmt numFmtId="178" formatCode="0.00_);[Red]\(0.00\)"/>
    <numFmt numFmtId="180" formatCode="0.000000"/>
    <numFmt numFmtId="181" formatCode="0.0"/>
    <numFmt numFmtId="182" formatCode="0.00000000"/>
    <numFmt numFmtId="188" formatCode="0.0000000"/>
  </numFmts>
  <fonts count="15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2"/>
      <color rgb="FF000000"/>
      <name val="等线"/>
      <family val="3"/>
      <charset val="134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80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1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1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1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1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0" fontId="10" fillId="0" borderId="16" xfId="0" applyFont="1" applyBorder="1" applyAlignment="1">
      <alignment horizontal="center" vertical="center" wrapText="1" readingOrder="1"/>
    </xf>
    <xf numFmtId="0" fontId="11" fillId="0" borderId="16" xfId="0" applyFont="1" applyBorder="1" applyAlignment="1">
      <alignment horizontal="center" vertical="center" wrapText="1" readingOrder="1"/>
    </xf>
    <xf numFmtId="0" fontId="12" fillId="0" borderId="16" xfId="0" applyFont="1" applyBorder="1" applyAlignment="1">
      <alignment horizontal="center" wrapText="1" readingOrder="1"/>
    </xf>
    <xf numFmtId="188" fontId="12" fillId="0" borderId="16" xfId="0" applyNumberFormat="1" applyFont="1" applyBorder="1" applyAlignment="1">
      <alignment horizontal="center" wrapText="1" readingOrder="1"/>
    </xf>
    <xf numFmtId="2" fontId="12" fillId="0" borderId="16" xfId="0" applyNumberFormat="1" applyFont="1" applyBorder="1" applyAlignment="1">
      <alignment horizontal="center" vertical="center" wrapText="1" readingOrder="1"/>
    </xf>
    <xf numFmtId="0" fontId="12" fillId="0" borderId="16" xfId="0" applyFont="1" applyBorder="1" applyAlignment="1">
      <alignment horizontal="center" vertical="center" wrapText="1" readingOrder="1"/>
    </xf>
    <xf numFmtId="0" fontId="13" fillId="0" borderId="16" xfId="0" applyFont="1" applyBorder="1" applyAlignment="1">
      <alignment horizontal="center" wrapText="1" readingOrder="1"/>
    </xf>
    <xf numFmtId="0" fontId="12" fillId="2" borderId="16" xfId="0" applyFont="1" applyFill="1" applyBorder="1" applyAlignment="1">
      <alignment horizontal="center" wrapText="1" readingOrder="1"/>
    </xf>
    <xf numFmtId="177" fontId="14" fillId="2" borderId="16" xfId="0" applyNumberFormat="1" applyFont="1" applyFill="1" applyBorder="1" applyAlignment="1">
      <alignment horizontal="center" vertical="center" wrapText="1" readingOrder="1"/>
    </xf>
    <xf numFmtId="0" fontId="14" fillId="2" borderId="16" xfId="0" applyFont="1" applyFill="1" applyBorder="1" applyAlignment="1">
      <alignment horizontal="center" vertical="center" wrapText="1" readingOrder="1"/>
    </xf>
    <xf numFmtId="0" fontId="12" fillId="2" borderId="16" xfId="0" applyFont="1" applyFill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常规" xfId="0" builtinId="0"/>
    <cellStyle name="常规 7" xfId="1" xr:uid="{00000000-0005-0000-0000-000031000000}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457D-D263-4CA8-986A-D4CE1F3C0DED}">
  <dimension ref="A1:K8"/>
  <sheetViews>
    <sheetView tabSelected="1" workbookViewId="0">
      <selection activeCell="E10" sqref="E10"/>
    </sheetView>
  </sheetViews>
  <sheetFormatPr defaultRowHeight="14" x14ac:dyDescent="0.3"/>
  <cols>
    <col min="2" max="2" width="10.9140625" customWidth="1"/>
    <col min="4" max="4" width="8.75" customWidth="1"/>
    <col min="5" max="5" width="12.83203125" customWidth="1"/>
    <col min="6" max="6" width="11.9140625" customWidth="1"/>
    <col min="7" max="8" width="11.1640625" customWidth="1"/>
    <col min="10" max="10" width="10.5" customWidth="1"/>
    <col min="11" max="11" width="10.6640625" customWidth="1"/>
  </cols>
  <sheetData>
    <row r="1" spans="1:11" ht="14.5" thickBot="1" x14ac:dyDescent="0.35"/>
    <row r="2" spans="1:11" ht="31.5" thickBot="1" x14ac:dyDescent="0.35">
      <c r="A2" s="74" t="s">
        <v>9</v>
      </c>
      <c r="B2" s="74" t="s">
        <v>45</v>
      </c>
      <c r="C2" s="74" t="s">
        <v>41</v>
      </c>
      <c r="D2" s="75" t="s">
        <v>48</v>
      </c>
      <c r="E2" s="75" t="s">
        <v>42</v>
      </c>
      <c r="F2" s="74" t="s">
        <v>40</v>
      </c>
      <c r="G2" s="74" t="s">
        <v>47</v>
      </c>
      <c r="H2" s="74" t="s">
        <v>46</v>
      </c>
      <c r="I2" s="74" t="s">
        <v>14</v>
      </c>
      <c r="J2" s="74" t="s">
        <v>43</v>
      </c>
      <c r="K2" s="74" t="s">
        <v>44</v>
      </c>
    </row>
    <row r="3" spans="1:11" ht="16" thickBot="1" x14ac:dyDescent="0.4">
      <c r="A3" s="76" t="s">
        <v>15</v>
      </c>
      <c r="B3" s="76"/>
      <c r="C3" s="76">
        <v>0.02</v>
      </c>
      <c r="D3" s="81">
        <v>2.74</v>
      </c>
      <c r="E3" s="76">
        <f>D3*C3</f>
        <v>5.4800000000000008E-2</v>
      </c>
      <c r="F3" s="77">
        <f>E3*0.06</f>
        <v>3.2880000000000006E-3</v>
      </c>
      <c r="G3" s="81">
        <v>2.0499999999999998</v>
      </c>
      <c r="H3" s="76">
        <f>G3*C3</f>
        <v>4.0999999999999995E-2</v>
      </c>
      <c r="I3" s="82">
        <v>0.01</v>
      </c>
      <c r="J3" s="78">
        <f>F3/I3</f>
        <v>0.32880000000000004</v>
      </c>
      <c r="K3" s="79">
        <f>G3/I3</f>
        <v>204.99999999999997</v>
      </c>
    </row>
    <row r="4" spans="1:11" ht="16" thickBot="1" x14ac:dyDescent="0.4">
      <c r="A4" s="76" t="s">
        <v>16</v>
      </c>
      <c r="B4" s="76"/>
      <c r="C4" s="76">
        <v>0.2</v>
      </c>
      <c r="D4" s="81">
        <v>6.2</v>
      </c>
      <c r="E4" s="76">
        <f t="shared" ref="E4" si="0">D4*C4</f>
        <v>1.2400000000000002</v>
      </c>
      <c r="F4" s="77">
        <f t="shared" ref="F4:F6" si="1">E4*0.06</f>
        <v>7.4400000000000008E-2</v>
      </c>
      <c r="G4" s="81">
        <v>4.3</v>
      </c>
      <c r="H4" s="76">
        <f t="shared" ref="H4:H6" si="2">G4*C4</f>
        <v>0.86</v>
      </c>
      <c r="I4" s="83">
        <v>0.02</v>
      </c>
      <c r="J4" s="78">
        <f>F4/I4</f>
        <v>3.72</v>
      </c>
      <c r="K4" s="79">
        <f t="shared" ref="K4:K6" si="3">G4/I4</f>
        <v>215</v>
      </c>
    </row>
    <row r="5" spans="1:11" ht="16" thickBot="1" x14ac:dyDescent="0.4">
      <c r="A5" s="76" t="s">
        <v>17</v>
      </c>
      <c r="B5" s="76"/>
      <c r="C5" s="76">
        <v>4.82</v>
      </c>
      <c r="D5" s="81">
        <v>2.15</v>
      </c>
      <c r="E5" s="76">
        <f>D5*C5</f>
        <v>10.363</v>
      </c>
      <c r="F5" s="77">
        <f t="shared" si="1"/>
        <v>0.62178</v>
      </c>
      <c r="G5" s="81">
        <v>3.67</v>
      </c>
      <c r="H5" s="76">
        <f t="shared" si="2"/>
        <v>17.689399999999999</v>
      </c>
      <c r="I5" s="83">
        <v>0.01</v>
      </c>
      <c r="J5" s="78">
        <f>F5/I5</f>
        <v>62.177999999999997</v>
      </c>
      <c r="K5" s="79">
        <f t="shared" si="3"/>
        <v>367</v>
      </c>
    </row>
    <row r="6" spans="1:11" ht="16" thickBot="1" x14ac:dyDescent="0.4">
      <c r="A6" s="76" t="s">
        <v>18</v>
      </c>
      <c r="B6" s="76"/>
      <c r="C6" s="76">
        <v>7.65</v>
      </c>
      <c r="D6" s="81">
        <v>2.54</v>
      </c>
      <c r="E6" s="76">
        <f>D6*C6</f>
        <v>19.431000000000001</v>
      </c>
      <c r="F6" s="77">
        <f t="shared" si="1"/>
        <v>1.1658600000000001</v>
      </c>
      <c r="G6" s="81">
        <v>2.2400000000000002</v>
      </c>
      <c r="H6" s="76">
        <f t="shared" si="2"/>
        <v>17.136000000000003</v>
      </c>
      <c r="I6" s="83">
        <v>0.02</v>
      </c>
      <c r="J6" s="78">
        <f>F6/I6</f>
        <v>58.293000000000006</v>
      </c>
      <c r="K6" s="79">
        <f t="shared" si="3"/>
        <v>112.00000000000001</v>
      </c>
    </row>
    <row r="7" spans="1:11" ht="16" thickBot="1" x14ac:dyDescent="0.4">
      <c r="A7" s="76"/>
      <c r="B7" s="76"/>
      <c r="C7" s="76"/>
      <c r="D7" s="76"/>
      <c r="E7" s="76"/>
      <c r="F7" s="77"/>
      <c r="G7" s="76"/>
      <c r="H7" s="76"/>
      <c r="I7" s="79"/>
      <c r="J7" s="78"/>
      <c r="K7" s="79"/>
    </row>
    <row r="8" spans="1:11" ht="16" thickBot="1" x14ac:dyDescent="0.4">
      <c r="A8" s="76" t="s">
        <v>19</v>
      </c>
      <c r="B8" s="76"/>
      <c r="C8" s="76">
        <v>60</v>
      </c>
      <c r="D8" s="76"/>
      <c r="E8" s="76"/>
      <c r="F8" s="80"/>
      <c r="G8" s="80"/>
      <c r="H8" s="80"/>
      <c r="I8" s="84">
        <v>0.01</v>
      </c>
      <c r="J8" s="79"/>
      <c r="K8" s="79"/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 x14ac:dyDescent="0.3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 x14ac:dyDescent="0.3">
      <c r="C23" s="41" t="s">
        <v>0</v>
      </c>
      <c r="D23" s="41" t="s">
        <v>22</v>
      </c>
      <c r="E23" s="42" t="s">
        <v>23</v>
      </c>
      <c r="F23" s="43" t="s">
        <v>6</v>
      </c>
      <c r="G23" s="44" t="s">
        <v>8</v>
      </c>
      <c r="H23" s="45" t="s">
        <v>24</v>
      </c>
    </row>
    <row r="24" spans="3:17" x14ac:dyDescent="0.3">
      <c r="C24" s="46" t="s">
        <v>15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 x14ac:dyDescent="0.3">
      <c r="C25" s="50" t="s">
        <v>16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 x14ac:dyDescent="0.3">
      <c r="C26" s="50" t="s">
        <v>17</v>
      </c>
      <c r="D26" s="11">
        <v>10</v>
      </c>
      <c r="E26" s="9">
        <f t="shared" si="0"/>
        <v>1</v>
      </c>
      <c r="G26" s="11">
        <v>12.2</v>
      </c>
      <c r="H26" s="52"/>
    </row>
    <row r="27" spans="3:17" x14ac:dyDescent="0.3">
      <c r="C27" s="50" t="s">
        <v>18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 x14ac:dyDescent="0.3">
      <c r="C28" s="54" t="s">
        <v>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 x14ac:dyDescent="0.3">
      <c r="G29" s="57">
        <f>10^H29</f>
        <v>11.99027700502498</v>
      </c>
      <c r="H29" s="58">
        <f>1.0069*E28-0.779</f>
        <v>1.0788292164903552</v>
      </c>
    </row>
    <row r="39" spans="3:8" x14ac:dyDescent="0.3">
      <c r="E39" t="s">
        <v>25</v>
      </c>
      <c r="F39" s="44" t="s">
        <v>8</v>
      </c>
      <c r="G39" t="s">
        <v>26</v>
      </c>
      <c r="H39" t="s">
        <v>27</v>
      </c>
    </row>
    <row r="40" spans="3:8" x14ac:dyDescent="0.3">
      <c r="C40" s="46" t="s">
        <v>15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 x14ac:dyDescent="0.3">
      <c r="C41" s="50" t="s">
        <v>16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 x14ac:dyDescent="0.3">
      <c r="C42" s="61" t="s">
        <v>17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 x14ac:dyDescent="0.3">
      <c r="C43" s="61" t="s">
        <v>18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 x14ac:dyDescent="0.3">
      <c r="C44" t="s">
        <v>19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 x14ac:dyDescent="0.3">
      <c r="F45" s="65"/>
      <c r="G45" s="66"/>
      <c r="H45" s="58"/>
    </row>
    <row r="51" spans="7:11" x14ac:dyDescent="0.3">
      <c r="I51" s="35"/>
    </row>
    <row r="52" spans="7:11" x14ac:dyDescent="0.3">
      <c r="I52" s="35"/>
    </row>
    <row r="54" spans="7:11" x14ac:dyDescent="0.3">
      <c r="G54" s="42"/>
      <c r="I54" s="38"/>
      <c r="K54" s="42"/>
    </row>
    <row r="55" spans="7:11" x14ac:dyDescent="0.3">
      <c r="G55" s="2"/>
      <c r="I55" s="67"/>
      <c r="J55" s="68"/>
      <c r="K55" s="2"/>
    </row>
    <row r="56" spans="7:11" x14ac:dyDescent="0.3">
      <c r="G56" s="2"/>
      <c r="I56" s="69"/>
      <c r="J56" s="68"/>
      <c r="K56" s="2"/>
    </row>
    <row r="57" spans="7:11" x14ac:dyDescent="0.3">
      <c r="G57" s="2"/>
      <c r="I57" s="70"/>
      <c r="J57" s="71"/>
      <c r="K57" s="2"/>
    </row>
    <row r="58" spans="7:11" x14ac:dyDescent="0.3">
      <c r="G58" s="2"/>
      <c r="I58" s="69"/>
      <c r="J58" s="71"/>
      <c r="K58" s="2"/>
    </row>
    <row r="59" spans="7:11" x14ac:dyDescent="0.3">
      <c r="I59" s="72"/>
      <c r="K59" s="2"/>
    </row>
  </sheetData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 x14ac:dyDescent="0.3"/>
  <cols>
    <col min="11" max="11" width="10.6640625" customWidth="1"/>
    <col min="12" max="12" width="13" customWidth="1"/>
  </cols>
  <sheetData>
    <row r="3" spans="9:17" x14ac:dyDescent="0.3">
      <c r="I3" s="16" t="s">
        <v>9</v>
      </c>
      <c r="J3" s="17" t="s">
        <v>10</v>
      </c>
      <c r="K3" s="17" t="s">
        <v>11</v>
      </c>
      <c r="L3" s="17" t="s">
        <v>12</v>
      </c>
      <c r="M3" s="18" t="s">
        <v>14</v>
      </c>
      <c r="N3" s="19" t="s">
        <v>7</v>
      </c>
      <c r="O3" s="17" t="s">
        <v>13</v>
      </c>
      <c r="Q3" s="16"/>
    </row>
    <row r="4" spans="9:17" x14ac:dyDescent="0.3">
      <c r="I4" s="16" t="s">
        <v>15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 x14ac:dyDescent="0.3">
      <c r="I5" s="16" t="s">
        <v>16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 x14ac:dyDescent="0.3">
      <c r="I6" s="16" t="s">
        <v>17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 x14ac:dyDescent="0.3">
      <c r="I7" s="16" t="s">
        <v>18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 x14ac:dyDescent="0.3">
      <c r="I8" s="31" t="s">
        <v>19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 x14ac:dyDescent="0.3">
      <c r="L9" t="s">
        <v>28</v>
      </c>
      <c r="M9">
        <f>M4/M8</f>
        <v>0.39999999999999997</v>
      </c>
    </row>
    <row r="10" spans="9:17" x14ac:dyDescent="0.3">
      <c r="L10" t="s">
        <v>29</v>
      </c>
      <c r="M10" s="34">
        <f>M5/M8</f>
        <v>10.733333333333333</v>
      </c>
    </row>
    <row r="11" spans="9:17" x14ac:dyDescent="0.3">
      <c r="L11" t="s">
        <v>30</v>
      </c>
      <c r="M11">
        <f>M6/M8</f>
        <v>96.666666666666657</v>
      </c>
    </row>
    <row r="12" spans="9:17" x14ac:dyDescent="0.3">
      <c r="L12" t="s">
        <v>31</v>
      </c>
      <c r="M12">
        <f>M7/M8</f>
        <v>4.666666666666667</v>
      </c>
    </row>
    <row r="13" spans="9:17" x14ac:dyDescent="0.3">
      <c r="I13" s="35"/>
      <c r="J13" s="35" t="s">
        <v>20</v>
      </c>
      <c r="K13" s="35" t="s">
        <v>21</v>
      </c>
    </row>
    <row r="14" spans="9:17" x14ac:dyDescent="0.3">
      <c r="I14" s="16" t="s">
        <v>15</v>
      </c>
      <c r="J14" s="36">
        <f>LOG(J4)</f>
        <v>-1.6020599913279623</v>
      </c>
      <c r="K14" s="37">
        <f>LOG(N4)</f>
        <v>-3.024568191490737</v>
      </c>
    </row>
    <row r="15" spans="9:17" x14ac:dyDescent="0.3">
      <c r="I15" s="16" t="s">
        <v>16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 x14ac:dyDescent="0.3">
      <c r="I16" s="16" t="s">
        <v>17</v>
      </c>
      <c r="J16" s="36">
        <f t="shared" si="0"/>
        <v>1</v>
      </c>
      <c r="K16" s="37">
        <f t="shared" si="1"/>
        <v>1.0748164406451748</v>
      </c>
    </row>
    <row r="17" spans="9:11" x14ac:dyDescent="0.3">
      <c r="I17" s="16" t="s">
        <v>18</v>
      </c>
      <c r="J17" s="36">
        <f t="shared" si="0"/>
        <v>0.69897000433601886</v>
      </c>
      <c r="K17" s="37">
        <f t="shared" si="1"/>
        <v>-0.33254704711004607</v>
      </c>
    </row>
    <row r="18" spans="9:11" x14ac:dyDescent="0.3">
      <c r="I18" s="35"/>
      <c r="J18" s="36">
        <f t="shared" si="0"/>
        <v>1.8450980400142569</v>
      </c>
      <c r="K18" s="35"/>
    </row>
    <row r="19" spans="9:11" x14ac:dyDescent="0.3">
      <c r="J19" s="38" t="s">
        <v>32</v>
      </c>
      <c r="K19" s="37">
        <f>10^(-0.6231)</f>
        <v>0.23817709831782291</v>
      </c>
    </row>
    <row r="20" spans="9:11" x14ac:dyDescent="0.3">
      <c r="I20" s="31" t="s">
        <v>33</v>
      </c>
      <c r="K20" s="39">
        <f>33.35*(K19/M9)^0.77</f>
        <v>22.372918723545872</v>
      </c>
    </row>
    <row r="21" spans="9:11" x14ac:dyDescent="0.3">
      <c r="I21" t="s">
        <v>34</v>
      </c>
      <c r="J21" t="s">
        <v>35</v>
      </c>
      <c r="K21" s="39">
        <f>33.35*(K19/M10)^0.77</f>
        <v>1.7768189737700604</v>
      </c>
    </row>
    <row r="22" spans="9:11" x14ac:dyDescent="0.3">
      <c r="I22" t="s">
        <v>36</v>
      </c>
      <c r="K22" s="39">
        <f>33.35*(K19/M11)^0.77</f>
        <v>0.32707379195527786</v>
      </c>
    </row>
    <row r="23" spans="9:11" x14ac:dyDescent="0.3">
      <c r="K23" s="39">
        <f>33.35*(K19/M12)^0.77</f>
        <v>3.3742217219219288</v>
      </c>
    </row>
    <row r="24" spans="9:11" x14ac:dyDescent="0.3">
      <c r="K24" s="40"/>
    </row>
  </sheetData>
  <phoneticPr fontId="9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 x14ac:dyDescent="0.3"/>
  <cols>
    <col min="7" max="7" width="13.33203125" customWidth="1"/>
  </cols>
  <sheetData>
    <row r="3" spans="3:8" x14ac:dyDescent="0.3">
      <c r="H3" t="s">
        <v>37</v>
      </c>
    </row>
    <row r="4" spans="3:8" x14ac:dyDescent="0.3">
      <c r="C4" s="1"/>
      <c r="D4" s="85" t="s">
        <v>38</v>
      </c>
      <c r="E4" s="86"/>
      <c r="F4" s="87"/>
      <c r="G4" s="2" t="s">
        <v>39</v>
      </c>
    </row>
    <row r="5" spans="3:8" x14ac:dyDescent="0.3">
      <c r="C5" s="3" t="s">
        <v>0</v>
      </c>
      <c r="D5" s="4"/>
      <c r="E5" s="5"/>
      <c r="F5" s="6"/>
    </row>
    <row r="6" spans="3:8" x14ac:dyDescent="0.3">
      <c r="C6" s="7" t="s">
        <v>2</v>
      </c>
      <c r="D6" s="8"/>
      <c r="F6" s="9">
        <v>47.08</v>
      </c>
      <c r="G6" s="10">
        <v>0.2</v>
      </c>
      <c r="H6">
        <v>0.06</v>
      </c>
    </row>
    <row r="7" spans="3:8" x14ac:dyDescent="0.3">
      <c r="C7" s="7" t="s">
        <v>3</v>
      </c>
      <c r="D7" s="11"/>
      <c r="F7" s="9">
        <v>65.290000000000006</v>
      </c>
      <c r="G7" s="2">
        <v>1.3</v>
      </c>
      <c r="H7">
        <v>1.61</v>
      </c>
    </row>
    <row r="8" spans="3:8" x14ac:dyDescent="0.3">
      <c r="C8" s="7" t="s">
        <v>4</v>
      </c>
      <c r="D8" s="11"/>
      <c r="F8" s="9">
        <v>65.2</v>
      </c>
      <c r="G8" s="2">
        <v>14.5</v>
      </c>
    </row>
    <row r="9" spans="3:8" x14ac:dyDescent="0.3">
      <c r="C9" s="7" t="s">
        <v>5</v>
      </c>
      <c r="D9" s="11"/>
      <c r="F9" s="9">
        <v>88.9</v>
      </c>
      <c r="G9" s="2">
        <v>1.5</v>
      </c>
      <c r="H9">
        <v>0.7</v>
      </c>
    </row>
    <row r="10" spans="3:8" x14ac:dyDescent="0.3">
      <c r="C10" s="12" t="s">
        <v>1</v>
      </c>
      <c r="D10" s="13"/>
      <c r="E10" s="14"/>
      <c r="F10" s="15"/>
      <c r="G10" s="10">
        <v>0.1</v>
      </c>
      <c r="H10">
        <v>0.15</v>
      </c>
    </row>
    <row r="12" spans="3:8" x14ac:dyDescent="0.3">
      <c r="F12">
        <f>AVERAGE(F6:F9)</f>
        <v>66.617500000000007</v>
      </c>
    </row>
  </sheetData>
  <mergeCells count="1">
    <mergeCell ref="D4:F4"/>
  </mergeCells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CL and Vss in preclinical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2025-03-06T06:59:05Z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