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483A6D48-62DE-44F2-9441-1C6135D22160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Allometry-CL" sheetId="6" r:id="rId1"/>
    <sheet name="Vdss_Allometry" sheetId="2" state="hidden" r:id="rId2"/>
    <sheet name="FICM R-H" sheetId="8" state="hidden" r:id="rId3"/>
    <sheet name="F%_Average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6" l="1"/>
  <c r="L26" i="6"/>
  <c r="L23" i="6"/>
  <c r="M27" i="6"/>
  <c r="K74" i="6"/>
  <c r="J74" i="6"/>
  <c r="L25" i="6" l="1"/>
  <c r="K23" i="6"/>
  <c r="K24" i="6"/>
  <c r="K25" i="6"/>
  <c r="K26" i="6"/>
  <c r="H38" i="6" l="1"/>
  <c r="O24" i="6"/>
  <c r="K35" i="6" s="1"/>
  <c r="F12" i="3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H37" i="6"/>
  <c r="H36" i="6"/>
  <c r="H35" i="6"/>
  <c r="H34" i="6"/>
  <c r="J27" i="6"/>
  <c r="J26" i="6"/>
  <c r="J25" i="6"/>
  <c r="J24" i="6"/>
  <c r="J23" i="6"/>
  <c r="N26" i="6"/>
  <c r="J37" i="6" s="1"/>
  <c r="I34" i="6"/>
  <c r="N24" i="6" l="1"/>
  <c r="J35" i="6" s="1"/>
  <c r="N25" i="6"/>
  <c r="J36" i="6" s="1"/>
  <c r="O25" i="6"/>
  <c r="K36" i="6" s="1"/>
  <c r="O26" i="6"/>
  <c r="K37" i="6" s="1"/>
  <c r="O23" i="6"/>
  <c r="K34" i="6" s="1"/>
  <c r="N23" i="6"/>
  <c r="J34" i="6" s="1"/>
  <c r="K20" i="8"/>
  <c r="K21" i="8"/>
  <c r="K22" i="8"/>
  <c r="K23" i="8"/>
  <c r="H44" i="2"/>
  <c r="G44" i="2" s="1"/>
  <c r="F44" i="2" s="1"/>
  <c r="H28" i="2"/>
  <c r="G28" i="2" s="1"/>
  <c r="F28" i="2" s="1"/>
  <c r="H29" i="2"/>
  <c r="G29" i="2" s="1"/>
  <c r="I36" i="6"/>
  <c r="P25" i="6"/>
  <c r="I35" i="6"/>
  <c r="P24" i="6"/>
  <c r="P23" i="6"/>
  <c r="L34" i="6" s="1"/>
  <c r="P26" i="6"/>
  <c r="I37" i="6"/>
  <c r="I38" i="6" l="1"/>
  <c r="I74" i="6" s="1"/>
  <c r="R25" i="6"/>
  <c r="N36" i="6" s="1"/>
  <c r="L36" i="6"/>
  <c r="Q25" i="6"/>
  <c r="M36" i="6" s="1"/>
  <c r="Q24" i="6"/>
  <c r="M35" i="6" s="1"/>
  <c r="R24" i="6"/>
  <c r="N35" i="6" s="1"/>
  <c r="L35" i="6"/>
  <c r="Q23" i="6"/>
  <c r="M34" i="6" s="1"/>
  <c r="R23" i="6"/>
  <c r="N34" i="6" s="1"/>
  <c r="R26" i="6"/>
  <c r="N37" i="6" s="1"/>
  <c r="Q26" i="6"/>
  <c r="M37" i="6" s="1"/>
  <c r="L37" i="6"/>
  <c r="N38" i="6" l="1"/>
  <c r="L38" i="6"/>
  <c r="M38" i="6"/>
  <c r="Q28" i="6" l="1"/>
  <c r="P28" i="6" s="1"/>
  <c r="K28" i="6" s="1"/>
  <c r="M74" i="6"/>
  <c r="P27" i="6"/>
  <c r="K27" i="6" s="1"/>
  <c r="L74" i="6"/>
  <c r="R29" i="6"/>
  <c r="P29" i="6" s="1"/>
  <c r="K29" i="6" s="1"/>
  <c r="N74" i="6"/>
</calcChain>
</file>

<file path=xl/sharedStrings.xml><?xml version="1.0" encoding="utf-8"?>
<sst xmlns="http://schemas.openxmlformats.org/spreadsheetml/2006/main" count="107" uniqueCount="66">
  <si>
    <t>Species</t>
  </si>
  <si>
    <t>h</t>
  </si>
  <si>
    <t>m</t>
  </si>
  <si>
    <t>r</t>
  </si>
  <si>
    <t>d</t>
  </si>
  <si>
    <t>c</t>
  </si>
  <si>
    <t>Vdss (L/kg)</t>
  </si>
  <si>
    <t>Cl(L/h)</t>
  </si>
  <si>
    <t>Vdss (L)</t>
  </si>
  <si>
    <t>T1/2 (h)</t>
  </si>
  <si>
    <t>Animal</t>
  </si>
  <si>
    <t>Body Weight (kg)</t>
  </si>
  <si>
    <t>Brain Weight (kg)</t>
  </si>
  <si>
    <t>MLP (years)</t>
  </si>
  <si>
    <t>Vdss</t>
  </si>
  <si>
    <t>fu</t>
  </si>
  <si>
    <t>CL/Fu</t>
  </si>
  <si>
    <t>CL/Fu*MLP</t>
  </si>
  <si>
    <t>CL/Fu*BrW</t>
  </si>
  <si>
    <t>Mouse</t>
  </si>
  <si>
    <t>Rat</t>
  </si>
  <si>
    <t>Dog</t>
  </si>
  <si>
    <t>Monkey</t>
  </si>
  <si>
    <t>Human</t>
  </si>
  <si>
    <t>Log BW</t>
  </si>
  <si>
    <t>log CL</t>
  </si>
  <si>
    <t>log CL/Fu</t>
  </si>
  <si>
    <t>log CL/Fu*MLP</t>
  </si>
  <si>
    <t>log CL/Fu*BrW</t>
  </si>
  <si>
    <t>human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</si>
  <si>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</si>
  <si>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</si>
  <si>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</si>
  <si>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</si>
  <si>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</si>
  <si>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</si>
  <si>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</si>
  <si>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</si>
  <si>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</si>
  <si>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</si>
  <si>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</si>
  <si>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</si>
  <si>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</si>
  <si>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</si>
  <si>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</si>
  <si>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</si>
  <si>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</si>
  <si>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</si>
  <si>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log CL*MLP</t>
  </si>
  <si>
    <t>log CL*BrW</t>
  </si>
  <si>
    <t>CL*MLP</t>
  </si>
  <si>
    <t>CL*BrW</t>
  </si>
  <si>
    <t>if 0.71＜b ≤1</t>
  </si>
  <si>
    <t>if 1＜b ≤1.3</t>
  </si>
  <si>
    <t>if 0.55＜b ≤0.71</t>
  </si>
  <si>
    <t>Fu adjusted</t>
  </si>
  <si>
    <t>X轴</t>
  </si>
  <si>
    <t>Y轴</t>
  </si>
  <si>
    <r>
      <t>Y= a*BW</t>
    </r>
    <r>
      <rPr>
        <vertAlign val="superscript"/>
        <sz val="11"/>
        <color theme="1"/>
        <rFont val="等线"/>
        <family val="2"/>
        <scheme val="minor"/>
      </rPr>
      <t>b</t>
    </r>
  </si>
  <si>
    <t>b</t>
  </si>
  <si>
    <t>R square</t>
  </si>
  <si>
    <t>SAL</t>
  </si>
  <si>
    <t>MLP corrected</t>
  </si>
  <si>
    <t>BrW corrected</t>
  </si>
  <si>
    <t>CL (L/h)</t>
  </si>
  <si>
    <t>Vdss（L）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</si>
</sst>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0"/>
    <numFmt numFmtId="177" formatCode="0.0000"/>
    <numFmt numFmtId="178" formatCode="0.00_);[Red]\(0.00\)"/>
    <numFmt numFmtId="179" formatCode="0_);[Red]\(0\)"/>
    <numFmt numFmtId="180" formatCode="0.000000"/>
    <numFmt numFmtId="181" formatCode="0.0"/>
    <numFmt numFmtId="182" formatCode="0.00000000"/>
    <numFmt numFmtId="183" formatCode="0.00_ "/>
    <numFmt numFmtId="184" formatCode="0.000000000000_ "/>
    <numFmt numFmtId="185" formatCode="0_ "/>
    <numFmt numFmtId="189" formatCode="0.00000000000000"/>
  </numFmts>
  <fonts count="22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1"/>
      <color rgb="FFFF0000"/>
      <name val="等线"/>
      <family val="3"/>
      <charset val="134"/>
      <scheme val="minor"/>
    </font>
    <font>
      <i/>
      <sz val="11"/>
      <name val="等线"/>
      <family val="3"/>
      <charset val="134"/>
      <scheme val="minor"/>
    </font>
    <font>
      <sz val="11"/>
      <color theme="9" tint="-0.499984740745262"/>
      <name val="等线"/>
      <family val="3"/>
      <charset val="134"/>
      <scheme val="minor"/>
    </font>
    <font>
      <b/>
      <sz val="11"/>
      <color theme="9" tint="-0.499984740745262"/>
      <name val="等线"/>
      <family val="3"/>
      <charset val="134"/>
      <scheme val="minor"/>
    </font>
    <font>
      <u/>
      <sz val="11"/>
      <color theme="1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vertAlign val="superscript"/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</borders>
  <cellStyleXfs count="3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/>
  </cellStyleXfs>
  <cellXfs count="15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80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1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1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1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1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0" fontId="0" fillId="0" borderId="0" xfId="0" applyAlignment="1" applyProtection="1">
      <protection locked="0"/>
    </xf>
    <xf numFmtId="0" fontId="5" fillId="0" borderId="16" xfId="0" applyFont="1" applyBorder="1" applyAlignment="1" applyProtection="1">
      <alignment horizontal="left" vertical="center"/>
      <protection locked="0"/>
    </xf>
    <xf numFmtId="183" fontId="8" fillId="0" borderId="0" xfId="0" applyNumberFormat="1" applyFont="1" applyProtection="1">
      <alignment vertical="center"/>
      <protection locked="0"/>
    </xf>
    <xf numFmtId="183" fontId="8" fillId="0" borderId="0" xfId="0" applyNumberFormat="1" applyFont="1" applyAlignment="1" applyProtection="1">
      <alignment vertical="center" wrapText="1"/>
      <protection locked="0"/>
    </xf>
    <xf numFmtId="183" fontId="8" fillId="2" borderId="0" xfId="0" applyNumberFormat="1" applyFont="1" applyFill="1" applyAlignment="1" applyProtection="1">
      <alignment horizontal="left" vertical="center" wrapText="1"/>
      <protection locked="0"/>
    </xf>
    <xf numFmtId="0" fontId="5" fillId="0" borderId="17" xfId="0" applyFont="1" applyBorder="1" applyAlignment="1" applyProtection="1">
      <alignment horizontal="left" vertical="center"/>
      <protection locked="0"/>
    </xf>
    <xf numFmtId="2" fontId="0" fillId="2" borderId="0" xfId="0" applyNumberFormat="1" applyFill="1" applyAlignment="1" applyProtection="1">
      <alignment horizontal="left"/>
      <protection locked="0"/>
    </xf>
    <xf numFmtId="177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0" xfId="0" applyFont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178" fontId="0" fillId="0" borderId="0" xfId="0" applyNumberFormat="1" applyAlignment="1" applyProtection="1">
      <protection locked="0"/>
    </xf>
    <xf numFmtId="0" fontId="9" fillId="0" borderId="1" xfId="0" applyFont="1" applyBorder="1" applyAlignment="1" applyProtection="1">
      <alignment horizontal="left" vertical="center"/>
      <protection locked="0"/>
    </xf>
    <xf numFmtId="181" fontId="0" fillId="0" borderId="1" xfId="0" applyNumberFormat="1" applyBorder="1" applyAlignment="1" applyProtection="1">
      <alignment horizontal="center"/>
      <protection locked="0"/>
    </xf>
    <xf numFmtId="176" fontId="0" fillId="3" borderId="1" xfId="0" applyNumberFormat="1" applyFill="1" applyBorder="1" applyAlignment="1" applyProtection="1">
      <alignment horizontal="center"/>
      <protection locked="0"/>
    </xf>
    <xf numFmtId="177" fontId="2" fillId="0" borderId="0" xfId="1" applyNumberFormat="1" applyFont="1" applyFill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76" fontId="0" fillId="0" borderId="1" xfId="0" applyNumberForma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81" fontId="0" fillId="0" borderId="0" xfId="0" applyNumberFormat="1" applyAlignment="1" applyProtection="1">
      <alignment horizontal="center"/>
      <protection locked="0"/>
    </xf>
    <xf numFmtId="179" fontId="9" fillId="0" borderId="1" xfId="0" applyNumberFormat="1" applyFont="1" applyBorder="1" applyAlignment="1" applyProtection="1">
      <alignment horizontal="left" vertical="center"/>
      <protection locked="0"/>
    </xf>
    <xf numFmtId="1" fontId="2" fillId="0" borderId="1" xfId="0" applyNumberFormat="1" applyFont="1" applyBorder="1" applyAlignment="1" applyProtection="1">
      <alignment horizontal="center"/>
      <protection locked="0"/>
    </xf>
    <xf numFmtId="1" fontId="0" fillId="2" borderId="1" xfId="0" applyNumberFormat="1" applyFill="1" applyBorder="1" applyAlignment="1" applyProtection="1">
      <alignment horizontal="center"/>
      <protection locked="0"/>
    </xf>
    <xf numFmtId="0" fontId="0" fillId="2" borderId="15" xfId="0" applyFill="1" applyBorder="1" applyProtection="1">
      <alignment vertical="center"/>
      <protection locked="0"/>
    </xf>
    <xf numFmtId="179" fontId="9" fillId="0" borderId="0" xfId="0" applyNumberFormat="1" applyFont="1" applyAlignment="1" applyProtection="1">
      <alignment horizontal="left" vertical="center"/>
      <protection locked="0"/>
    </xf>
    <xf numFmtId="179" fontId="10" fillId="0" borderId="1" xfId="0" applyNumberFormat="1" applyFont="1" applyBorder="1" applyAlignment="1" applyProtection="1">
      <alignment horizontal="left" vertical="center"/>
      <protection locked="0"/>
    </xf>
    <xf numFmtId="176" fontId="11" fillId="2" borderId="1" xfId="0" applyNumberFormat="1" applyFont="1" applyFill="1" applyBorder="1" applyAlignment="1" applyProtection="1">
      <alignment horizontal="center"/>
      <protection locked="0"/>
    </xf>
    <xf numFmtId="1" fontId="1" fillId="3" borderId="0" xfId="0" applyNumberFormat="1" applyFont="1" applyFill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77" fontId="0" fillId="0" borderId="0" xfId="0" applyNumberFormat="1" applyAlignment="1" applyProtection="1">
      <protection locked="0"/>
    </xf>
    <xf numFmtId="0" fontId="1" fillId="0" borderId="1" xfId="0" applyFont="1" applyBorder="1" applyAlignment="1" applyProtection="1">
      <protection locked="0"/>
    </xf>
    <xf numFmtId="0" fontId="1" fillId="2" borderId="0" xfId="0" applyFont="1" applyFill="1" applyProtection="1">
      <alignment vertical="center"/>
      <protection locked="0"/>
    </xf>
    <xf numFmtId="0" fontId="1" fillId="3" borderId="0" xfId="0" applyFont="1" applyFill="1" applyProtection="1">
      <alignment vertical="center"/>
      <protection locked="0"/>
    </xf>
    <xf numFmtId="183" fontId="8" fillId="0" borderId="0" xfId="0" applyNumberFormat="1" applyFont="1" applyAlignment="1" applyProtection="1">
      <alignment horizontal="left" vertical="center" wrapText="1"/>
      <protection locked="0"/>
    </xf>
    <xf numFmtId="181" fontId="12" fillId="2" borderId="0" xfId="0" applyNumberFormat="1" applyFont="1" applyFill="1" applyAlignment="1" applyProtection="1">
      <alignment horizontal="left"/>
      <protection locked="0"/>
    </xf>
    <xf numFmtId="2" fontId="0" fillId="0" borderId="0" xfId="0" applyNumberFormat="1" applyAlignment="1" applyProtection="1">
      <alignment horizontal="left"/>
      <protection locked="0"/>
    </xf>
    <xf numFmtId="181" fontId="0" fillId="0" borderId="0" xfId="0" applyNumberFormat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180" fontId="0" fillId="0" borderId="1" xfId="0" applyNumberFormat="1" applyBorder="1" applyAlignment="1" applyProtection="1">
      <alignment horizontal="center"/>
      <protection locked="0"/>
    </xf>
    <xf numFmtId="177" fontId="0" fillId="0" borderId="1" xfId="0" applyNumberFormat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176" fontId="1" fillId="0" borderId="0" xfId="0" applyNumberFormat="1" applyFont="1" applyAlignment="1" applyProtection="1">
      <alignment horizontal="center" vertical="center"/>
      <protection locked="0"/>
    </xf>
    <xf numFmtId="177" fontId="0" fillId="2" borderId="5" xfId="0" applyNumberFormat="1" applyFill="1" applyBorder="1" applyAlignment="1" applyProtection="1">
      <alignment horizontal="center" vertical="center"/>
      <protection locked="0"/>
    </xf>
    <xf numFmtId="181" fontId="1" fillId="0" borderId="0" xfId="0" applyNumberFormat="1" applyFont="1" applyAlignment="1" applyProtection="1">
      <alignment horizontal="center" vertical="center"/>
      <protection locked="0"/>
    </xf>
    <xf numFmtId="177" fontId="2" fillId="2" borderId="5" xfId="0" applyNumberFormat="1" applyFont="1" applyFill="1" applyBorder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76" fontId="1" fillId="3" borderId="0" xfId="0" applyNumberFormat="1" applyFont="1" applyFill="1" applyAlignment="1" applyProtection="1">
      <alignment horizontal="center"/>
      <protection locked="0"/>
    </xf>
    <xf numFmtId="184" fontId="0" fillId="0" borderId="0" xfId="0" applyNumberFormat="1" applyAlignment="1" applyProtection="1">
      <protection locked="0"/>
    </xf>
    <xf numFmtId="1" fontId="13" fillId="0" borderId="5" xfId="0" applyNumberFormat="1" applyFont="1" applyBorder="1" applyAlignment="1" applyProtection="1">
      <alignment horizontal="right"/>
      <protection locked="0"/>
    </xf>
    <xf numFmtId="185" fontId="14" fillId="0" borderId="0" xfId="0" applyNumberFormat="1" applyFont="1" applyAlignment="1" applyProtection="1">
      <alignment horizontal="right" vertical="center"/>
      <protection locked="0"/>
    </xf>
    <xf numFmtId="1" fontId="0" fillId="3" borderId="0" xfId="0" applyNumberFormat="1" applyFill="1" applyAlignment="1" applyProtection="1">
      <alignment horizontal="center"/>
      <protection locked="0"/>
    </xf>
    <xf numFmtId="0" fontId="1" fillId="0" borderId="5" xfId="0" applyFont="1" applyBorder="1" applyAlignment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1" fontId="13" fillId="0" borderId="0" xfId="0" applyNumberFormat="1" applyFont="1" applyAlignment="1" applyProtection="1">
      <alignment horizontal="right"/>
      <protection locked="0"/>
    </xf>
    <xf numFmtId="0" fontId="13" fillId="0" borderId="0" xfId="0" applyFon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2" fontId="0" fillId="0" borderId="8" xfId="0" applyNumberFormat="1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19" fillId="0" borderId="1" xfId="0" applyFont="1" applyBorder="1" applyAlignment="1" applyProtection="1">
      <protection locked="0"/>
    </xf>
    <xf numFmtId="176" fontId="1" fillId="0" borderId="1" xfId="0" applyNumberFormat="1" applyFont="1" applyBorder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protection locked="0"/>
    </xf>
    <xf numFmtId="0" fontId="20" fillId="0" borderId="1" xfId="0" applyFont="1" applyBorder="1" applyAlignment="1" applyProtection="1">
      <protection locked="0"/>
    </xf>
    <xf numFmtId="189" fontId="0" fillId="0" borderId="1" xfId="0" applyNumberFormat="1" applyBorder="1" applyAlignment="1" applyProtection="1">
      <protection locked="0"/>
    </xf>
    <xf numFmtId="0" fontId="19" fillId="0" borderId="1" xfId="0" applyFont="1" applyBorder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常规" xfId="0" builtinId="0"/>
    <cellStyle name="常规 7" xfId="2" xr:uid="{00000000-0005-0000-0000-000031000000}"/>
    <cellStyle name="超链接" xfId="1" builtinId="8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zh-CN" altLang="en-US"/>
              <a:t>一次拟合曲线</a:t>
            </a:r>
            <a:r>
              <a:rPr lang="en-US" altLang="zh-CN"/>
              <a:t>1</a:t>
            </a:r>
          </a:p>
        </c:rich>
      </c:tx>
      <c:layout>
        <c:manualLayout>
          <c:xMode val="edge"/>
          <c:yMode val="edge"/>
          <c:x val="0.3772036294667061"/>
          <c:y val="1.346934901151417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'Allometry-CL'!$I$34:$I$37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'Allometry-CL'!$J$34:$J$37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E-4553-9939-12DE4E584793}"/>
            </c:ext>
          </c:extLst>
        </c:ser>
        <c:ser>
          <c:idx val="1"/>
          <c:order val="1"/>
          <c:tx>
            <c:v>拟合曲线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-2.483068191131987</c:v>
              </c:pt>
              <c:pt idx="1">
                <c:v>6.6646402157199344E-2</c:v>
              </c:pt>
            </c:numLit>
          </c:xVal>
          <c:yVal>
            <c:numLit>
              <c:formatCode>General</c:formatCode>
              <c:ptCount val="2"/>
              <c:pt idx="0">
                <c:v>-2.1282860350828163</c:v>
              </c:pt>
              <c:pt idx="1">
                <c:v>1.4443074990050819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FE-4553-9939-12DE4E584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39392"/>
        <c:axId val="178923552"/>
      </c:scatterChart>
      <c:valAx>
        <c:axId val="178939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X </a:t>
                </a:r>
                <a:r>
                  <a:rPr lang="zh-CN" altLang="en-US"/>
                  <a:t>轴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78923552"/>
        <c:crosses val="autoZero"/>
        <c:crossBetween val="midCat"/>
      </c:valAx>
      <c:valAx>
        <c:axId val="178923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Y </a:t>
                </a:r>
                <a:r>
                  <a:rPr lang="zh-CN" altLang="en-US"/>
                  <a:t>轴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78939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69850</xdr:colOff>
          <xdr:row>1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925232</xdr:colOff>
          <xdr:row>39</xdr:row>
          <xdr:rowOff>28388</xdr:rowOff>
        </xdr:from>
        <xdr:ext cx="539750" cy="393700"/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拟合图2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506879</xdr:colOff>
          <xdr:row>38</xdr:row>
          <xdr:rowOff>131482</xdr:rowOff>
        </xdr:from>
        <xdr:ext cx="539750" cy="393700"/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拟合图3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754903</xdr:colOff>
          <xdr:row>39</xdr:row>
          <xdr:rowOff>9338</xdr:rowOff>
        </xdr:from>
        <xdr:ext cx="539750" cy="387350"/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拟合图4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531159</xdr:colOff>
          <xdr:row>39</xdr:row>
          <xdr:rowOff>91888</xdr:rowOff>
        </xdr:from>
        <xdr:ext cx="533400" cy="387350"/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拟合图1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oneCellAnchor>
    </mc:Choice>
    <mc:Fallback/>
  </mc:AlternateContent>
  <xdr:twoCellAnchor>
    <xdr:from>
      <xdr:col>6</xdr:col>
      <xdr:colOff>790575</xdr:colOff>
      <xdr:row>44</xdr:row>
      <xdr:rowOff>139700</xdr:rowOff>
    </xdr:from>
    <xdr:to>
      <xdr:col>12</xdr:col>
      <xdr:colOff>730250</xdr:colOff>
      <xdr:row>65</xdr:row>
      <xdr:rowOff>149225</xdr:rowOff>
    </xdr:to>
    <xdr:graphicFrame macro="">
      <xdr:nvGraphicFramePr>
        <xdr:cNvPr id="6" name="FittedCurveChart">
          <a:extLst>
            <a:ext uri="{FF2B5EF4-FFF2-40B4-BE49-F238E27FC236}">
              <a16:creationId xmlns:a16="http://schemas.microsoft.com/office/drawing/2014/main" id="{D2228B05-7E96-782A-A0DA-77E4ED414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0.6004</cdr:x>
      <cdr:y>0.93328</cdr:y>
    </cdr:from>
    <cdr:to>
      <cdr:x>1</cdr:x>
      <cdr:y>1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6DCB2A54-A582-ECCA-B7E9-D58D9D2F3A4C}"/>
            </a:ext>
          </a:extLst>
        </cdr:cNvPr>
        <cdr:cNvSpPr txBox="1"/>
      </cdr:nvSpPr>
      <cdr:spPr>
        <a:xfrm xmlns:a="http://schemas.openxmlformats.org/drawingml/2006/main">
          <a:off x="9239250" y="8032750"/>
          <a:ext cx="2540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 kern="1200"/>
            <a:t>y = 1.401x + 1.351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4"/>
  <sheetViews>
    <sheetView tabSelected="1" topLeftCell="C18" zoomScale="85" zoomScaleNormal="85" workbookViewId="0">
      <selection activeCell="E39" sqref="E39"/>
    </sheetView>
  </sheetViews>
  <sheetFormatPr defaultColWidth="8.6640625" defaultRowHeight="14" x14ac:dyDescent="0.3"/>
  <cols>
    <col min="1" max="1" width="9.08203125" style="74" customWidth="1"/>
    <col min="2" max="2" width="24" style="74" customWidth="1"/>
    <col min="3" max="3" width="17.25" style="74" customWidth="1"/>
    <col min="4" max="4" width="13.08203125" style="74" customWidth="1"/>
    <col min="5" max="5" width="20.75" style="74" customWidth="1"/>
    <col min="6" max="6" width="17.75" style="74" customWidth="1"/>
    <col min="7" max="7" width="11.4140625" style="74" customWidth="1"/>
    <col min="8" max="8" width="16.83203125" style="74" customWidth="1"/>
    <col min="9" max="9" width="16.08203125" style="74" customWidth="1"/>
    <col min="10" max="10" width="12.1640625" style="74" customWidth="1"/>
    <col min="11" max="11" width="17.75" style="74" customWidth="1"/>
    <col min="12" max="12" width="17.6640625" style="74" customWidth="1"/>
    <col min="13" max="13" width="16" style="74" customWidth="1"/>
    <col min="14" max="14" width="21.08203125" style="74" customWidth="1"/>
    <col min="15" max="15" width="20.4140625" style="74" customWidth="1"/>
    <col min="16" max="16" width="19" style="74" customWidth="1"/>
    <col min="17" max="17" width="15.5" style="74" customWidth="1"/>
    <col min="18" max="18" width="16.75" style="74" customWidth="1"/>
    <col min="19" max="16384" width="8.6640625" style="74"/>
  </cols>
  <sheetData>
    <row r="1" spans="1:12" ht="25" customHeight="1" x14ac:dyDescent="0.3"/>
    <row r="2" spans="1:12" x14ac:dyDescent="0.3">
      <c r="B2" s="75"/>
      <c r="C2" s="76"/>
      <c r="E2" s="75"/>
      <c r="F2" s="76"/>
      <c r="H2" s="75"/>
      <c r="I2" s="76"/>
      <c r="K2" s="75"/>
      <c r="L2" s="76"/>
    </row>
    <row r="3" spans="1:12" x14ac:dyDescent="0.3">
      <c r="B3" s="75"/>
      <c r="C3" s="77"/>
      <c r="E3" s="75"/>
      <c r="F3" s="77"/>
      <c r="H3" s="75"/>
      <c r="I3" s="77"/>
      <c r="K3" s="75"/>
      <c r="L3" s="77"/>
    </row>
    <row r="4" spans="1:12" x14ac:dyDescent="0.3">
      <c r="B4" s="75"/>
      <c r="C4" s="77"/>
      <c r="E4" s="75"/>
      <c r="F4" s="77"/>
      <c r="H4" s="75"/>
      <c r="I4" s="77"/>
      <c r="K4" s="75"/>
      <c r="L4" s="77"/>
    </row>
    <row r="5" spans="1:12" x14ac:dyDescent="0.3">
      <c r="B5" s="75"/>
      <c r="C5" s="78"/>
      <c r="E5" s="75"/>
      <c r="F5" s="78"/>
      <c r="H5" s="75"/>
      <c r="I5" s="108"/>
      <c r="K5" s="75"/>
      <c r="L5" s="108"/>
    </row>
    <row r="7" spans="1:12" x14ac:dyDescent="0.3">
      <c r="B7" s="79"/>
      <c r="C7" s="80"/>
      <c r="E7" s="79"/>
      <c r="F7" s="80"/>
      <c r="H7" s="79"/>
      <c r="I7" s="109"/>
      <c r="K7" s="79"/>
      <c r="L7" s="80"/>
    </row>
    <row r="8" spans="1:12" x14ac:dyDescent="0.3">
      <c r="B8" s="79"/>
      <c r="C8" s="80"/>
      <c r="E8" s="79"/>
      <c r="F8" s="80"/>
      <c r="H8" s="79"/>
      <c r="I8" s="109"/>
      <c r="K8" s="79"/>
      <c r="L8" s="80"/>
    </row>
    <row r="9" spans="1:12" x14ac:dyDescent="0.3">
      <c r="B9" s="79"/>
      <c r="C9" s="81"/>
      <c r="E9" s="79"/>
      <c r="F9" s="81"/>
      <c r="H9" s="79"/>
      <c r="I9" s="111"/>
      <c r="K9" s="79"/>
      <c r="L9" s="110"/>
    </row>
    <row r="10" spans="1:12" x14ac:dyDescent="0.3">
      <c r="B10" s="79"/>
      <c r="C10" s="81"/>
      <c r="E10" s="79"/>
      <c r="F10" s="81"/>
      <c r="H10" s="79"/>
      <c r="I10" s="111"/>
      <c r="K10" s="79"/>
      <c r="L10" s="110"/>
    </row>
    <row r="11" spans="1:12" x14ac:dyDescent="0.3">
      <c r="B11" s="79" t="s">
        <v>9</v>
      </c>
      <c r="C11" s="82"/>
    </row>
    <row r="13" spans="1:12" x14ac:dyDescent="0.3">
      <c r="B13" s="83"/>
    </row>
    <row r="14" spans="1:12" x14ac:dyDescent="0.3">
      <c r="A14" s="83"/>
    </row>
    <row r="15" spans="1:12" x14ac:dyDescent="0.3">
      <c r="A15" s="83"/>
      <c r="B15" s="83"/>
      <c r="C15" s="84"/>
      <c r="D15" s="85"/>
    </row>
    <row r="16" spans="1:12" x14ac:dyDescent="0.3">
      <c r="A16" s="83"/>
      <c r="B16" s="86"/>
      <c r="C16" s="87"/>
      <c r="D16" s="84"/>
    </row>
    <row r="17" spans="2:18" x14ac:dyDescent="0.3">
      <c r="B17" s="86"/>
      <c r="C17" s="88"/>
      <c r="D17" s="89"/>
    </row>
    <row r="18" spans="2:18" x14ac:dyDescent="0.3">
      <c r="B18" s="86"/>
      <c r="C18" s="90"/>
      <c r="D18" s="91"/>
    </row>
    <row r="19" spans="2:18" x14ac:dyDescent="0.3">
      <c r="B19" s="92"/>
      <c r="C19" s="93"/>
      <c r="D19" s="94"/>
    </row>
    <row r="21" spans="2:18" x14ac:dyDescent="0.3">
      <c r="B21" s="83"/>
    </row>
    <row r="22" spans="2:18" x14ac:dyDescent="0.3">
      <c r="B22" s="95"/>
      <c r="C22" s="96"/>
      <c r="G22" s="16" t="s">
        <v>10</v>
      </c>
      <c r="H22" s="17" t="s">
        <v>11</v>
      </c>
      <c r="I22" s="17" t="s">
        <v>12</v>
      </c>
      <c r="J22" s="17" t="s">
        <v>13</v>
      </c>
      <c r="K22" s="112" t="s">
        <v>7</v>
      </c>
      <c r="L22" s="113" t="s">
        <v>65</v>
      </c>
      <c r="M22" s="135" t="s">
        <v>33</v>
      </c>
      <c r="N22" s="112" t="s">
        <v>50</v>
      </c>
      <c r="O22" s="112" t="s">
        <v>51</v>
      </c>
      <c r="P22" s="137" t="s">
        <v>16</v>
      </c>
      <c r="Q22" s="137" t="s">
        <v>17</v>
      </c>
      <c r="R22" s="137" t="s">
        <v>18</v>
      </c>
    </row>
    <row r="23" spans="2:18" x14ac:dyDescent="0.3">
      <c r="B23" s="95"/>
      <c r="C23" s="97"/>
      <c r="G23" s="16" t="s">
        <v>19</v>
      </c>
      <c r="H23" s="20">
        <v>2.5000000000000001E-2</v>
      </c>
      <c r="I23" s="21">
        <v>4.0000000000000002E-4</v>
      </c>
      <c r="J23" s="33">
        <f t="shared" ref="J23:J27" si="0">185.4*(I23^0.636)*(H23^-0.225)</f>
        <v>2.9341572304717549</v>
      </c>
      <c r="K23" s="114" t="e">
        <f>#REF!</f>
        <v>#REF!</v>
      </c>
      <c r="L23" s="115" t="e">
        <f>#REF!</f>
        <v>#REF!</v>
      </c>
      <c r="M23" s="116">
        <v>0.05</v>
      </c>
      <c r="N23" s="84" t="e">
        <f>K23*J23</f>
        <v>#REF!</v>
      </c>
      <c r="O23" s="84" t="e">
        <f>K23*I23</f>
        <v>#REF!</v>
      </c>
      <c r="P23" s="136" t="e">
        <f>K23/M23</f>
        <v>#REF!</v>
      </c>
      <c r="Q23" s="118" t="e">
        <f>P23*J23</f>
        <v>#REF!</v>
      </c>
      <c r="R23" s="138" t="e">
        <f>P23*I23</f>
        <v>#REF!</v>
      </c>
    </row>
    <row r="24" spans="2:18" x14ac:dyDescent="0.3">
      <c r="B24" s="95"/>
      <c r="C24" s="98"/>
      <c r="G24" s="16" t="s">
        <v>20</v>
      </c>
      <c r="H24" s="20">
        <v>0.3</v>
      </c>
      <c r="I24" s="20">
        <v>1.8E-3</v>
      </c>
      <c r="J24" s="22">
        <f t="shared" si="0"/>
        <v>4.3662717370424211</v>
      </c>
      <c r="K24" s="117" t="e">
        <f>#REF!</f>
        <v>#REF!</v>
      </c>
      <c r="L24" s="117" t="e">
        <f>#REF!</f>
        <v>#REF!</v>
      </c>
      <c r="M24" s="119">
        <v>0.02</v>
      </c>
      <c r="N24" s="84" t="e">
        <f t="shared" ref="N24:N26" si="1">K24*J24</f>
        <v>#REF!</v>
      </c>
      <c r="O24" s="84" t="e">
        <f t="shared" ref="O24:O26" si="2">K24*I24</f>
        <v>#REF!</v>
      </c>
      <c r="P24" s="117" t="e">
        <f>K24/M24</f>
        <v>#REF!</v>
      </c>
      <c r="Q24" s="120" t="e">
        <f>P24*J24</f>
        <v>#REF!</v>
      </c>
      <c r="R24" s="138" t="e">
        <f>P24*I24</f>
        <v>#REF!</v>
      </c>
    </row>
    <row r="25" spans="2:18" x14ac:dyDescent="0.3">
      <c r="B25" s="95"/>
      <c r="C25" s="98"/>
      <c r="G25" s="16" t="s">
        <v>21</v>
      </c>
      <c r="H25" s="20">
        <v>10</v>
      </c>
      <c r="I25" s="20">
        <v>0.08</v>
      </c>
      <c r="J25" s="22">
        <f t="shared" si="0"/>
        <v>22.155163610329485</v>
      </c>
      <c r="K25" s="117" t="e">
        <f>#REF!</f>
        <v>#REF!</v>
      </c>
      <c r="L25" s="117" t="e">
        <f>#REF!</f>
        <v>#REF!</v>
      </c>
      <c r="M25" s="121">
        <v>0.03</v>
      </c>
      <c r="N25" s="84" t="e">
        <f t="shared" si="1"/>
        <v>#REF!</v>
      </c>
      <c r="O25" s="84" t="e">
        <f t="shared" si="2"/>
        <v>#REF!</v>
      </c>
      <c r="P25" s="117" t="e">
        <f>K25/M25</f>
        <v>#REF!</v>
      </c>
      <c r="Q25" s="122" t="e">
        <f>P25*J25</f>
        <v>#REF!</v>
      </c>
      <c r="R25" s="138" t="e">
        <f>P25*I25</f>
        <v>#REF!</v>
      </c>
    </row>
    <row r="26" spans="2:18" x14ac:dyDescent="0.3">
      <c r="B26" s="99"/>
      <c r="C26" s="94"/>
      <c r="G26" s="16" t="s">
        <v>22</v>
      </c>
      <c r="H26" s="20">
        <v>5</v>
      </c>
      <c r="I26" s="20">
        <v>0.09</v>
      </c>
      <c r="J26" s="22">
        <f t="shared" si="0"/>
        <v>27.908706908950666</v>
      </c>
      <c r="K26" s="91" t="e">
        <f>#REF!</f>
        <v>#REF!</v>
      </c>
      <c r="L26" s="117" t="e">
        <f>#REF!</f>
        <v>#REF!</v>
      </c>
      <c r="M26" s="123">
        <v>0.05</v>
      </c>
      <c r="N26" s="84" t="e">
        <f t="shared" si="1"/>
        <v>#REF!</v>
      </c>
      <c r="O26" s="84" t="e">
        <f t="shared" si="2"/>
        <v>#REF!</v>
      </c>
      <c r="P26" s="117" t="e">
        <f>K26/M26</f>
        <v>#REF!</v>
      </c>
      <c r="Q26" s="122" t="e">
        <f>P26*J26</f>
        <v>#REF!</v>
      </c>
      <c r="R26" s="138" t="e">
        <f>P26*I26</f>
        <v>#REF!</v>
      </c>
    </row>
    <row r="27" spans="2:18" x14ac:dyDescent="0.3">
      <c r="B27" s="83"/>
      <c r="G27" s="31" t="s">
        <v>23</v>
      </c>
      <c r="H27" s="32">
        <v>60</v>
      </c>
      <c r="I27" s="32">
        <v>1.4</v>
      </c>
      <c r="J27" s="33">
        <f t="shared" si="0"/>
        <v>91.403563816054429</v>
      </c>
      <c r="K27" s="124" t="e">
        <f>P27*M27</f>
        <v>#VALUE!</v>
      </c>
      <c r="L27" s="125"/>
      <c r="M27" s="123" t="e">
        <f>#REF!</f>
        <v>#REF!</v>
      </c>
      <c r="P27" s="126" t="e">
        <f>10^L38</f>
        <v>#VALUE!</v>
      </c>
      <c r="Q27" s="127"/>
      <c r="R27" s="132"/>
    </row>
    <row r="28" spans="2:18" x14ac:dyDescent="0.3">
      <c r="B28" s="100"/>
      <c r="C28" s="101"/>
      <c r="K28" s="128" t="e">
        <f>P28/M27</f>
        <v>#VALUE!</v>
      </c>
      <c r="M28" s="129"/>
      <c r="P28" s="126" t="e">
        <f>Q28/J27</f>
        <v>#VALUE!</v>
      </c>
      <c r="Q28" s="126" t="e">
        <f>10^M38</f>
        <v>#VALUE!</v>
      </c>
      <c r="R28" s="132"/>
    </row>
    <row r="29" spans="2:18" x14ac:dyDescent="0.3">
      <c r="B29" s="95"/>
      <c r="C29" s="102"/>
      <c r="K29" s="130" t="e">
        <f>P29*M27</f>
        <v>#VALUE!</v>
      </c>
      <c r="P29" s="131" t="e">
        <f>R29/I27</f>
        <v>#VALUE!</v>
      </c>
      <c r="Q29" s="132"/>
      <c r="R29" s="126" t="e">
        <f>10^N38</f>
        <v>#VALUE!</v>
      </c>
    </row>
    <row r="30" spans="2:18" x14ac:dyDescent="0.3">
      <c r="B30" s="95"/>
      <c r="C30" s="103"/>
      <c r="H30" s="74" t="s">
        <v>56</v>
      </c>
      <c r="I30" s="74" t="s">
        <v>57</v>
      </c>
      <c r="N30" s="133"/>
      <c r="O30" s="93"/>
    </row>
    <row r="31" spans="2:18" x14ac:dyDescent="0.3">
      <c r="G31" s="139"/>
      <c r="H31" s="140"/>
      <c r="I31" s="149"/>
      <c r="J31" s="149"/>
      <c r="K31" s="149"/>
      <c r="L31" s="148" t="s">
        <v>55</v>
      </c>
      <c r="M31" s="148"/>
      <c r="N31" s="148"/>
      <c r="O31" s="93"/>
    </row>
    <row r="32" spans="2:18" x14ac:dyDescent="0.3">
      <c r="C32" s="104"/>
      <c r="G32" s="139"/>
      <c r="H32" s="140"/>
      <c r="I32" s="140" t="s">
        <v>54</v>
      </c>
      <c r="J32" s="140" t="s">
        <v>52</v>
      </c>
      <c r="K32" s="140" t="s">
        <v>53</v>
      </c>
      <c r="L32" s="140" t="s">
        <v>54</v>
      </c>
      <c r="M32" s="140" t="s">
        <v>52</v>
      </c>
      <c r="N32" s="140" t="s">
        <v>53</v>
      </c>
      <c r="O32" s="93"/>
    </row>
    <row r="33" spans="2:14" x14ac:dyDescent="0.3">
      <c r="G33" s="139"/>
      <c r="H33" s="140" t="s">
        <v>24</v>
      </c>
      <c r="I33" s="140" t="s">
        <v>25</v>
      </c>
      <c r="J33" s="140" t="s">
        <v>48</v>
      </c>
      <c r="K33" s="140" t="s">
        <v>49</v>
      </c>
      <c r="L33" s="140" t="s">
        <v>26</v>
      </c>
      <c r="M33" s="140" t="s">
        <v>27</v>
      </c>
      <c r="N33" s="140" t="s">
        <v>28</v>
      </c>
    </row>
    <row r="34" spans="2:14" x14ac:dyDescent="0.3">
      <c r="G34" s="105" t="s">
        <v>19</v>
      </c>
      <c r="H34" s="91">
        <f t="shared" ref="H34:H37" si="3">LOG(H23)</f>
        <v>-1.6020599913279623</v>
      </c>
      <c r="I34" s="141" t="e">
        <f>LOG(K23)</f>
        <v>#REF!</v>
      </c>
      <c r="J34" s="141" t="e">
        <f>LOG(N23)</f>
        <v>#REF!</v>
      </c>
      <c r="K34" s="141" t="e">
        <f>LOG(O23)</f>
        <v>#REF!</v>
      </c>
      <c r="L34" s="141" t="e">
        <f>LOG(P23)</f>
        <v>#REF!</v>
      </c>
      <c r="M34" s="141" t="e">
        <f>LOG(Q23)</f>
        <v>#REF!</v>
      </c>
      <c r="N34" s="141" t="e">
        <f>LOG(R23)</f>
        <v>#REF!</v>
      </c>
    </row>
    <row r="35" spans="2:14" x14ac:dyDescent="0.3">
      <c r="G35" s="105" t="s">
        <v>20</v>
      </c>
      <c r="H35" s="91">
        <f t="shared" si="3"/>
        <v>-0.52287874528033762</v>
      </c>
      <c r="I35" s="141" t="e">
        <f t="shared" ref="I35:I37" si="4">LOG(K24)</f>
        <v>#REF!</v>
      </c>
      <c r="J35" s="141" t="e">
        <f t="shared" ref="J35:J37" si="5">LOG(N24)</f>
        <v>#REF!</v>
      </c>
      <c r="K35" s="141" t="e">
        <f t="shared" ref="K35:K37" si="6">LOG(O24)</f>
        <v>#REF!</v>
      </c>
      <c r="L35" s="141" t="e">
        <f t="shared" ref="L35:N37" si="7">LOG(P24)</f>
        <v>#REF!</v>
      </c>
      <c r="M35" s="142" t="e">
        <f t="shared" si="7"/>
        <v>#REF!</v>
      </c>
      <c r="N35" s="141" t="e">
        <f t="shared" si="7"/>
        <v>#REF!</v>
      </c>
    </row>
    <row r="36" spans="2:14" x14ac:dyDescent="0.3">
      <c r="G36" s="105" t="s">
        <v>21</v>
      </c>
      <c r="H36" s="91">
        <f t="shared" si="3"/>
        <v>1</v>
      </c>
      <c r="I36" s="141" t="e">
        <f t="shared" si="4"/>
        <v>#REF!</v>
      </c>
      <c r="J36" s="141" t="e">
        <f t="shared" si="5"/>
        <v>#REF!</v>
      </c>
      <c r="K36" s="141" t="e">
        <f t="shared" si="6"/>
        <v>#REF!</v>
      </c>
      <c r="L36" s="141" t="e">
        <f t="shared" si="7"/>
        <v>#REF!</v>
      </c>
      <c r="M36" s="142" t="e">
        <f t="shared" si="7"/>
        <v>#REF!</v>
      </c>
      <c r="N36" s="141" t="e">
        <f t="shared" si="7"/>
        <v>#REF!</v>
      </c>
    </row>
    <row r="37" spans="2:14" x14ac:dyDescent="0.3">
      <c r="G37" s="105" t="s">
        <v>22</v>
      </c>
      <c r="H37" s="91">
        <f t="shared" si="3"/>
        <v>0.69897000433601886</v>
      </c>
      <c r="I37" s="141" t="e">
        <f t="shared" si="4"/>
        <v>#REF!</v>
      </c>
      <c r="J37" s="141" t="e">
        <f t="shared" si="5"/>
        <v>#REF!</v>
      </c>
      <c r="K37" s="141" t="e">
        <f t="shared" si="6"/>
        <v>#REF!</v>
      </c>
      <c r="L37" s="141" t="e">
        <f t="shared" si="7"/>
        <v>#REF!</v>
      </c>
      <c r="M37" s="142" t="e">
        <f t="shared" si="7"/>
        <v>#REF!</v>
      </c>
      <c r="N37" s="141" t="e">
        <f t="shared" si="7"/>
        <v>#REF!</v>
      </c>
    </row>
    <row r="38" spans="2:14" x14ac:dyDescent="0.3">
      <c r="B38" s="106"/>
      <c r="G38" s="105" t="s">
        <v>29</v>
      </c>
      <c r="H38" s="91">
        <f>LOG(H27)</f>
        <v>1.7781512503836436</v>
      </c>
      <c r="I38" s="143" t="e">
        <f>ROUND(INDEX(LINEST(I34:I37,H34:H37,TRUE,TRUE),1,1),4)*H38+ROUND(INDEX(LINEST(I34:I37,H34:H37,TRUE,TRUE),1,2),4)</f>
        <v>#VALUE!</v>
      </c>
      <c r="J38" s="139"/>
      <c r="K38" s="139"/>
      <c r="L38" s="143" t="e">
        <f>ROUND(INDEX(LINEST(L34:L37,H34:H37,TRUE,TRUE),1,1),4)*H38+ROUND(INDEX(LINEST(I34:I37,H34:H37,TRUE,TRUE),1,2),4)</f>
        <v>#VALUE!</v>
      </c>
      <c r="M38" s="144" t="e">
        <f>ROUND(INDEX(LINEST(M34:M37,H34:H37,TRUE,TRUE),1,1),4)*H38+ROUND(INDEX(LINEST(I34:I37,H34:H37,TRUE,TRUE),1,2),4)</f>
        <v>#VALUE!</v>
      </c>
      <c r="N38" s="144" t="e">
        <f>ROUND(INDEX(LINEST(N34:N37,H34:H37,TRUE,TRUE),1,1),4)*H38+ROUND(INDEX(LINEST(I34:I37,H34:H37,TRUE,TRUE),1,2),4)</f>
        <v>#VALUE!</v>
      </c>
    </row>
    <row r="39" spans="2:14" x14ac:dyDescent="0.3">
      <c r="B39" s="107"/>
    </row>
    <row r="50" spans="11:11" x14ac:dyDescent="0.3">
      <c r="K50" s="134"/>
    </row>
    <row r="69" spans="8:14" ht="16.5" x14ac:dyDescent="0.3">
      <c r="H69" s="145" t="s">
        <v>58</v>
      </c>
      <c r="L69" s="150" t="s">
        <v>55</v>
      </c>
      <c r="M69" s="150"/>
      <c r="N69" s="150"/>
    </row>
    <row r="70" spans="8:14" x14ac:dyDescent="0.3">
      <c r="H70" s="139"/>
      <c r="I70" s="146" t="s">
        <v>61</v>
      </c>
      <c r="J70" s="146" t="s">
        <v>62</v>
      </c>
      <c r="K70" s="146" t="s">
        <v>63</v>
      </c>
      <c r="L70" s="146" t="s">
        <v>61</v>
      </c>
      <c r="M70" s="146" t="s">
        <v>62</v>
      </c>
      <c r="N70" s="146" t="s">
        <v>63</v>
      </c>
    </row>
    <row r="71" spans="8:14" x14ac:dyDescent="0.3">
      <c r="H71" s="146" t="s">
        <v>40</v>
      </c>
      <c r="I71" s="139"/>
      <c r="J71" s="139"/>
      <c r="K71" s="139"/>
      <c r="L71" s="139"/>
      <c r="M71" s="139"/>
      <c r="N71" s="139"/>
    </row>
    <row r="72" spans="8:14" x14ac:dyDescent="0.3">
      <c r="H72" s="146" t="s">
        <v>59</v>
      </c>
      <c r="I72" s="139"/>
      <c r="J72" s="139"/>
      <c r="K72" s="139"/>
      <c r="L72" s="139"/>
      <c r="M72" s="139"/>
      <c r="N72" s="139"/>
    </row>
    <row r="73" spans="8:14" x14ac:dyDescent="0.3">
      <c r="H73" s="146" t="s">
        <v>60</v>
      </c>
      <c r="I73" s="139"/>
      <c r="J73" s="139"/>
      <c r="K73" s="139"/>
      <c r="L73" s="139"/>
      <c r="M73" s="139"/>
      <c r="N73" s="139"/>
    </row>
    <row r="74" spans="8:14" x14ac:dyDescent="0.3">
      <c r="H74" s="140" t="s">
        <v>64</v>
      </c>
      <c r="I74" s="147" t="e">
        <f>10^I38</f>
        <v>#VALUE!</v>
      </c>
      <c r="J74" s="139">
        <f>(10^J38)/J27</f>
        <v>1.0940492451831037E-2</v>
      </c>
      <c r="K74" s="139">
        <f>(10^K38)/I27</f>
        <v>0.7142857142857143</v>
      </c>
      <c r="L74" s="139" t="e">
        <f>(10^L38)*M27</f>
        <v>#VALUE!</v>
      </c>
      <c r="M74" s="139" t="e">
        <f>(10^M38)*M27/J27</f>
        <v>#VALUE!</v>
      </c>
      <c r="N74" s="139" t="e">
        <f>(10^N38)*M27/I27</f>
        <v>#VALUE!</v>
      </c>
    </row>
  </sheetData>
  <sheetProtection algorithmName="SHA-512" hashValue="gB/VgEhgTKOOwxyhk58JusOE7b3KfKyfwahghPY1cMa7jxhtetlwOvLQ/jRL8KqMs+ye8qSZxdlWPRCH/dtN+g==" saltValue="JBcPWNLxIY3dLvdJfC3aCg==" spinCount="100000" sheet="1" objects="1" scenarios="1" autoFilter="0" pivotTables="0"/>
  <mergeCells count="3">
    <mergeCell ref="L31:N31"/>
    <mergeCell ref="I31:K31"/>
    <mergeCell ref="L69:N69"/>
  </mergeCells>
  <phoneticPr fontId="17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ltText="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12700</xdr:colOff>
                <xdr:row>0</xdr:row>
                <xdr:rowOff>311150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4" r:id="rId5" name="Button 4">
          <controlPr defaultSize="0" print="0" autoFill="0" autoPict="0" macro="[0]!PlotFittedCurve32">
            <anchor moveWithCells="1">
              <from>
                <xdr:col>10</xdr:col>
                <xdr:colOff>0</xdr:colOff>
                <xdr:row>39</xdr:row>
                <xdr:rowOff>88900</xdr:rowOff>
              </from>
              <to>
                <xdr:col>10</xdr:col>
                <xdr:colOff>539750</xdr:colOff>
                <xdr:row>41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6" name="Button 6">
          <controlPr defaultSize="0" print="0" autoFill="0" autoPict="0" macro="[0]!PlotFittedCurve33">
            <anchor moveWithCells="1">
              <from>
                <xdr:col>10</xdr:col>
                <xdr:colOff>508000</xdr:colOff>
                <xdr:row>39</xdr:row>
                <xdr:rowOff>12700</xdr:rowOff>
              </from>
              <to>
                <xdr:col>10</xdr:col>
                <xdr:colOff>1047750</xdr:colOff>
                <xdr:row>41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7" name="Button 7">
          <controlPr defaultSize="0" print="0" autoFill="0" autoPict="0" macro="[0]!PlotFittedCurve34">
            <anchor moveWithCells="1">
              <from>
                <xdr:col>11</xdr:col>
                <xdr:colOff>755650</xdr:colOff>
                <xdr:row>39</xdr:row>
                <xdr:rowOff>69850</xdr:rowOff>
              </from>
              <to>
                <xdr:col>11</xdr:col>
                <xdr:colOff>1295400</xdr:colOff>
                <xdr:row>41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8" name="Button 9">
          <controlPr defaultSize="0" print="0" autoFill="0" autoPict="0" macro="[0]!PlotFittedCurve31">
            <anchor moveWithCells="1">
              <from>
                <xdr:col>8</xdr:col>
                <xdr:colOff>533400</xdr:colOff>
                <xdr:row>39</xdr:row>
                <xdr:rowOff>152400</xdr:rowOff>
              </from>
              <to>
                <xdr:col>8</xdr:col>
                <xdr:colOff>1066800</xdr:colOff>
                <xdr:row>42</xdr:row>
                <xdr:rowOff>6350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 x14ac:dyDescent="0.3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 x14ac:dyDescent="0.3">
      <c r="C23" s="41" t="s">
        <v>0</v>
      </c>
      <c r="D23" s="41" t="s">
        <v>30</v>
      </c>
      <c r="E23" s="42" t="s">
        <v>31</v>
      </c>
      <c r="F23" s="43" t="s">
        <v>6</v>
      </c>
      <c r="G23" s="44" t="s">
        <v>8</v>
      </c>
      <c r="H23" s="45" t="s">
        <v>32</v>
      </c>
    </row>
    <row r="24" spans="3:17" x14ac:dyDescent="0.3">
      <c r="C24" s="46" t="s">
        <v>19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 x14ac:dyDescent="0.3">
      <c r="C25" s="50" t="s">
        <v>20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 x14ac:dyDescent="0.3">
      <c r="C26" s="50" t="s">
        <v>21</v>
      </c>
      <c r="D26" s="11">
        <v>10</v>
      </c>
      <c r="E26" s="9">
        <f t="shared" si="0"/>
        <v>1</v>
      </c>
      <c r="G26" s="11">
        <v>12.2</v>
      </c>
      <c r="H26" s="52"/>
    </row>
    <row r="27" spans="3:17" x14ac:dyDescent="0.3">
      <c r="C27" s="50" t="s">
        <v>22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 x14ac:dyDescent="0.3">
      <c r="C28" s="54" t="s">
        <v>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 x14ac:dyDescent="0.3">
      <c r="G29" s="57">
        <f>10^H29</f>
        <v>11.99027700502498</v>
      </c>
      <c r="H29" s="58">
        <f>1.0069*E28-0.779</f>
        <v>1.0788292164903552</v>
      </c>
    </row>
    <row r="39" spans="3:8" x14ac:dyDescent="0.3">
      <c r="E39" t="s">
        <v>33</v>
      </c>
      <c r="F39" s="44" t="s">
        <v>8</v>
      </c>
      <c r="G39" t="s">
        <v>34</v>
      </c>
      <c r="H39" t="s">
        <v>35</v>
      </c>
    </row>
    <row r="40" spans="3:8" x14ac:dyDescent="0.3">
      <c r="C40" s="46" t="s">
        <v>19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 x14ac:dyDescent="0.3">
      <c r="C41" s="50" t="s">
        <v>20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 x14ac:dyDescent="0.3">
      <c r="C42" s="61" t="s">
        <v>21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 x14ac:dyDescent="0.3">
      <c r="C43" s="61" t="s">
        <v>22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 x14ac:dyDescent="0.3">
      <c r="C44" t="s">
        <v>23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 x14ac:dyDescent="0.3">
      <c r="F45" s="65"/>
      <c r="G45" s="66"/>
      <c r="H45" s="58"/>
    </row>
    <row r="51" spans="7:11" x14ac:dyDescent="0.3">
      <c r="I51" s="35"/>
    </row>
    <row r="52" spans="7:11" x14ac:dyDescent="0.3">
      <c r="I52" s="35"/>
    </row>
    <row r="54" spans="7:11" x14ac:dyDescent="0.3">
      <c r="G54" s="42"/>
      <c r="I54" s="38"/>
      <c r="K54" s="42"/>
    </row>
    <row r="55" spans="7:11" x14ac:dyDescent="0.3">
      <c r="G55" s="2"/>
      <c r="I55" s="67"/>
      <c r="J55" s="68"/>
      <c r="K55" s="2"/>
    </row>
    <row r="56" spans="7:11" x14ac:dyDescent="0.3">
      <c r="G56" s="2"/>
      <c r="I56" s="69"/>
      <c r="J56" s="68"/>
      <c r="K56" s="2"/>
    </row>
    <row r="57" spans="7:11" x14ac:dyDescent="0.3">
      <c r="G57" s="2"/>
      <c r="I57" s="70"/>
      <c r="J57" s="71"/>
      <c r="K57" s="2"/>
    </row>
    <row r="58" spans="7:11" x14ac:dyDescent="0.3">
      <c r="G58" s="2"/>
      <c r="I58" s="69"/>
      <c r="J58" s="71"/>
      <c r="K58" s="2"/>
    </row>
    <row r="59" spans="7:11" x14ac:dyDescent="0.3">
      <c r="I59" s="72"/>
      <c r="K59" s="2"/>
    </row>
  </sheetData>
  <phoneticPr fontId="17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 x14ac:dyDescent="0.3"/>
  <cols>
    <col min="11" max="11" width="10.6640625" customWidth="1"/>
    <col min="12" max="12" width="13" customWidth="1"/>
  </cols>
  <sheetData>
    <row r="3" spans="9:17" x14ac:dyDescent="0.3">
      <c r="I3" s="16" t="s">
        <v>10</v>
      </c>
      <c r="J3" s="17" t="s">
        <v>11</v>
      </c>
      <c r="K3" s="17" t="s">
        <v>12</v>
      </c>
      <c r="L3" s="17" t="s">
        <v>13</v>
      </c>
      <c r="M3" s="18" t="s">
        <v>15</v>
      </c>
      <c r="N3" s="19" t="s">
        <v>7</v>
      </c>
      <c r="O3" s="17" t="s">
        <v>14</v>
      </c>
      <c r="Q3" s="16"/>
    </row>
    <row r="4" spans="9:17" x14ac:dyDescent="0.3">
      <c r="I4" s="16" t="s">
        <v>19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 x14ac:dyDescent="0.3">
      <c r="I5" s="16" t="s">
        <v>20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 x14ac:dyDescent="0.3">
      <c r="I6" s="16" t="s">
        <v>21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 x14ac:dyDescent="0.3">
      <c r="I7" s="16" t="s">
        <v>22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 x14ac:dyDescent="0.3">
      <c r="I8" s="31" t="s">
        <v>23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 x14ac:dyDescent="0.3">
      <c r="L9" t="s">
        <v>36</v>
      </c>
      <c r="M9">
        <f>M4/M8</f>
        <v>0.39999999999999997</v>
      </c>
    </row>
    <row r="10" spans="9:17" x14ac:dyDescent="0.3">
      <c r="L10" t="s">
        <v>37</v>
      </c>
      <c r="M10" s="34">
        <f>M5/M8</f>
        <v>10.733333333333333</v>
      </c>
    </row>
    <row r="11" spans="9:17" x14ac:dyDescent="0.3">
      <c r="L11" t="s">
        <v>38</v>
      </c>
      <c r="M11">
        <f>M6/M8</f>
        <v>96.666666666666657</v>
      </c>
    </row>
    <row r="12" spans="9:17" x14ac:dyDescent="0.3">
      <c r="L12" t="s">
        <v>39</v>
      </c>
      <c r="M12">
        <f>M7/M8</f>
        <v>4.666666666666667</v>
      </c>
    </row>
    <row r="13" spans="9:17" x14ac:dyDescent="0.3">
      <c r="I13" s="35"/>
      <c r="J13" s="35" t="s">
        <v>24</v>
      </c>
      <c r="K13" s="35" t="s">
        <v>25</v>
      </c>
    </row>
    <row r="14" spans="9:17" x14ac:dyDescent="0.3">
      <c r="I14" s="16" t="s">
        <v>19</v>
      </c>
      <c r="J14" s="36">
        <f>LOG(J4)</f>
        <v>-1.6020599913279623</v>
      </c>
      <c r="K14" s="37">
        <f>LOG(N4)</f>
        <v>-3.024568191490737</v>
      </c>
    </row>
    <row r="15" spans="9:17" x14ac:dyDescent="0.3">
      <c r="I15" s="16" t="s">
        <v>20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 x14ac:dyDescent="0.3">
      <c r="I16" s="16" t="s">
        <v>21</v>
      </c>
      <c r="J16" s="36">
        <f t="shared" si="0"/>
        <v>1</v>
      </c>
      <c r="K16" s="37">
        <f t="shared" si="1"/>
        <v>1.0748164406451748</v>
      </c>
    </row>
    <row r="17" spans="9:11" x14ac:dyDescent="0.3">
      <c r="I17" s="16" t="s">
        <v>22</v>
      </c>
      <c r="J17" s="36">
        <f t="shared" si="0"/>
        <v>0.69897000433601886</v>
      </c>
      <c r="K17" s="37">
        <f t="shared" si="1"/>
        <v>-0.33254704711004607</v>
      </c>
    </row>
    <row r="18" spans="9:11" x14ac:dyDescent="0.3">
      <c r="I18" s="35"/>
      <c r="J18" s="36">
        <f t="shared" si="0"/>
        <v>1.8450980400142569</v>
      </c>
      <c r="K18" s="35"/>
    </row>
    <row r="19" spans="9:11" x14ac:dyDescent="0.3">
      <c r="J19" s="38" t="s">
        <v>40</v>
      </c>
      <c r="K19" s="37">
        <f>10^(-0.6231)</f>
        <v>0.23817709831782291</v>
      </c>
    </row>
    <row r="20" spans="9:11" x14ac:dyDescent="0.3">
      <c r="I20" s="31" t="s">
        <v>41</v>
      </c>
      <c r="K20" s="39">
        <f>33.35*(K19/M9)^0.77</f>
        <v>22.372918723545872</v>
      </c>
    </row>
    <row r="21" spans="9:11" x14ac:dyDescent="0.3">
      <c r="I21" t="s">
        <v>42</v>
      </c>
      <c r="J21" t="s">
        <v>43</v>
      </c>
      <c r="K21" s="39">
        <f>33.35*(K19/M10)^0.77</f>
        <v>1.7768189737700604</v>
      </c>
    </row>
    <row r="22" spans="9:11" x14ac:dyDescent="0.3">
      <c r="I22" t="s">
        <v>44</v>
      </c>
      <c r="K22" s="39">
        <f>33.35*(K19/M11)^0.77</f>
        <v>0.32707379195527786</v>
      </c>
    </row>
    <row r="23" spans="9:11" x14ac:dyDescent="0.3">
      <c r="K23" s="39">
        <f>33.35*(K19/M12)^0.77</f>
        <v>3.3742217219219288</v>
      </c>
    </row>
    <row r="24" spans="9:11" x14ac:dyDescent="0.3">
      <c r="K24" s="40"/>
    </row>
  </sheetData>
  <phoneticPr fontId="17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 x14ac:dyDescent="0.3"/>
  <cols>
    <col min="7" max="7" width="13.33203125" customWidth="1"/>
  </cols>
  <sheetData>
    <row r="3" spans="3:8" x14ac:dyDescent="0.3">
      <c r="H3" t="s">
        <v>45</v>
      </c>
    </row>
    <row r="4" spans="3:8" x14ac:dyDescent="0.3">
      <c r="C4" s="1"/>
      <c r="D4" s="151" t="s">
        <v>46</v>
      </c>
      <c r="E4" s="152"/>
      <c r="F4" s="153"/>
      <c r="G4" s="2" t="s">
        <v>47</v>
      </c>
    </row>
    <row r="5" spans="3:8" x14ac:dyDescent="0.3">
      <c r="C5" s="3" t="s">
        <v>0</v>
      </c>
      <c r="D5" s="4"/>
      <c r="E5" s="5"/>
      <c r="F5" s="6"/>
    </row>
    <row r="6" spans="3:8" x14ac:dyDescent="0.3">
      <c r="C6" s="7" t="s">
        <v>2</v>
      </c>
      <c r="D6" s="8"/>
      <c r="F6" s="9">
        <v>47.08</v>
      </c>
      <c r="G6" s="10">
        <v>0.2</v>
      </c>
      <c r="H6">
        <v>0.06</v>
      </c>
    </row>
    <row r="7" spans="3:8" x14ac:dyDescent="0.3">
      <c r="C7" s="7" t="s">
        <v>3</v>
      </c>
      <c r="D7" s="11"/>
      <c r="F7" s="9">
        <v>65.290000000000006</v>
      </c>
      <c r="G7" s="2">
        <v>1.3</v>
      </c>
      <c r="H7">
        <v>1.61</v>
      </c>
    </row>
    <row r="8" spans="3:8" x14ac:dyDescent="0.3">
      <c r="C8" s="7" t="s">
        <v>4</v>
      </c>
      <c r="D8" s="11"/>
      <c r="F8" s="9">
        <v>65.2</v>
      </c>
      <c r="G8" s="2">
        <v>14.5</v>
      </c>
    </row>
    <row r="9" spans="3:8" x14ac:dyDescent="0.3">
      <c r="C9" s="7" t="s">
        <v>5</v>
      </c>
      <c r="D9" s="11"/>
      <c r="F9" s="9">
        <v>88.9</v>
      </c>
      <c r="G9" s="2">
        <v>1.5</v>
      </c>
      <c r="H9">
        <v>0.7</v>
      </c>
    </row>
    <row r="10" spans="3:8" x14ac:dyDescent="0.3">
      <c r="C10" s="12" t="s">
        <v>1</v>
      </c>
      <c r="D10" s="13"/>
      <c r="E10" s="14"/>
      <c r="F10" s="15"/>
      <c r="G10" s="10">
        <v>0.1</v>
      </c>
      <c r="H10">
        <v>0.15</v>
      </c>
    </row>
    <row r="12" spans="3:8" x14ac:dyDescent="0.3">
      <c r="F12">
        <f>AVERAGE(F6:F9)</f>
        <v>66.617500000000007</v>
      </c>
    </row>
  </sheetData>
  <mergeCells count="1">
    <mergeCell ref="D4:F4"/>
  </mergeCells>
  <phoneticPr fontId="17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Allometry-CL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2025-03-06T07:01:21Z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