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13" codeName="{AB3344F7-D241-B141-7B5F-E26DF2BE0A92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plitexcel\"/>
    </mc:Choice>
  </mc:AlternateContent>
  <xr:revisionPtr revIDLastSave="0" documentId="13_ncr:1_{34F2ABF8-A4DA-46E8-92B3-7EBC009C73E2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Allometry-CL" sheetId="6" r:id="rId1"/>
    <sheet name="Vdss_Allometry" sheetId="2" state="hidden" r:id="rId2"/>
    <sheet name="FICM R-H" sheetId="8" state="hidden" r:id="rId3"/>
    <sheet name="F%_Average" sheetId="3" state="hidden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6" l="1"/>
  <c r="L25" i="6"/>
  <c r="L24" i="6"/>
  <c r="L23" i="6"/>
  <c r="K26" i="6"/>
  <c r="K25" i="6"/>
  <c r="K24" i="6"/>
  <c r="K23" i="6"/>
  <c r="K74" i="6"/>
  <c r="J74" i="6"/>
  <c r="H38" i="6" l="1"/>
  <c r="O24" i="6"/>
  <c r="K35" i="6" s="1"/>
  <c r="F12" i="3"/>
  <c r="K19" i="8"/>
  <c r="J18" i="8"/>
  <c r="K17" i="8"/>
  <c r="J17" i="8"/>
  <c r="K16" i="8"/>
  <c r="J16" i="8"/>
  <c r="K15" i="8"/>
  <c r="J15" i="8"/>
  <c r="K14" i="8"/>
  <c r="J14" i="8"/>
  <c r="M12" i="8"/>
  <c r="M11" i="8"/>
  <c r="M10" i="8"/>
  <c r="M9" i="8"/>
  <c r="G43" i="2"/>
  <c r="H43" i="2" s="1"/>
  <c r="G42" i="2"/>
  <c r="H42" i="2" s="1"/>
  <c r="E41" i="2"/>
  <c r="G41" i="2" s="1"/>
  <c r="H41" i="2" s="1"/>
  <c r="G40" i="2"/>
  <c r="H40" i="2" s="1"/>
  <c r="E28" i="2"/>
  <c r="H27" i="2"/>
  <c r="E27" i="2"/>
  <c r="E26" i="2"/>
  <c r="H25" i="2"/>
  <c r="E25" i="2"/>
  <c r="H24" i="2"/>
  <c r="E24" i="2"/>
  <c r="H37" i="6"/>
  <c r="H36" i="6"/>
  <c r="H35" i="6"/>
  <c r="H34" i="6"/>
  <c r="J27" i="6"/>
  <c r="J26" i="6"/>
  <c r="J25" i="6"/>
  <c r="J24" i="6"/>
  <c r="J23" i="6"/>
  <c r="N26" i="6"/>
  <c r="J37" i="6" s="1"/>
  <c r="I34" i="6"/>
  <c r="N24" i="6" l="1"/>
  <c r="J35" i="6" s="1"/>
  <c r="N25" i="6"/>
  <c r="J36" i="6" s="1"/>
  <c r="O25" i="6"/>
  <c r="K36" i="6" s="1"/>
  <c r="O26" i="6"/>
  <c r="K37" i="6" s="1"/>
  <c r="O23" i="6"/>
  <c r="K34" i="6" s="1"/>
  <c r="N23" i="6"/>
  <c r="J34" i="6" s="1"/>
  <c r="K20" i="8"/>
  <c r="K21" i="8"/>
  <c r="K22" i="8"/>
  <c r="K23" i="8"/>
  <c r="H44" i="2"/>
  <c r="G44" i="2" s="1"/>
  <c r="F44" i="2" s="1"/>
  <c r="H28" i="2"/>
  <c r="G28" i="2" s="1"/>
  <c r="F28" i="2" s="1"/>
  <c r="H29" i="2"/>
  <c r="G29" i="2" s="1"/>
  <c r="I36" i="6"/>
  <c r="P25" i="6"/>
  <c r="I35" i="6"/>
  <c r="P24" i="6"/>
  <c r="P23" i="6"/>
  <c r="L34" i="6" s="1"/>
  <c r="P26" i="6"/>
  <c r="I37" i="6"/>
  <c r="I38" i="6" l="1"/>
  <c r="I74" i="6" s="1"/>
  <c r="R25" i="6"/>
  <c r="N36" i="6" s="1"/>
  <c r="L36" i="6"/>
  <c r="Q25" i="6"/>
  <c r="M36" i="6" s="1"/>
  <c r="Q24" i="6"/>
  <c r="M35" i="6" s="1"/>
  <c r="R24" i="6"/>
  <c r="N35" i="6" s="1"/>
  <c r="L35" i="6"/>
  <c r="Q23" i="6"/>
  <c r="M34" i="6" s="1"/>
  <c r="R23" i="6"/>
  <c r="N34" i="6" s="1"/>
  <c r="R26" i="6"/>
  <c r="N37" i="6" s="1"/>
  <c r="Q26" i="6"/>
  <c r="M37" i="6" s="1"/>
  <c r="L37" i="6"/>
  <c r="N38" i="6" l="1"/>
  <c r="L38" i="6"/>
  <c r="M38" i="6"/>
  <c r="M74" i="6" l="1"/>
  <c r="P27" i="6"/>
  <c r="K27" i="6" s="1"/>
  <c r="L74" i="6"/>
  <c r="N74" i="6"/>
</calcChain>
</file>

<file path=xl/sharedStrings.xml><?xml version="1.0" encoding="utf-8"?>
<sst xmlns="http://schemas.openxmlformats.org/spreadsheetml/2006/main" count="106" uniqueCount="65">
  <si>
    <t>Species</t>
  </si>
  <si>
    <t>h</t>
  </si>
  <si>
    <t>m</t>
  </si>
  <si>
    <t>r</t>
  </si>
  <si>
    <t>d</t>
  </si>
  <si>
    <t>c</t>
  </si>
  <si>
    <t>Vdss (L/kg)</t>
  </si>
  <si>
    <t>Cl(L/h)</t>
  </si>
  <si>
    <t>Vdss (L)</t>
  </si>
  <si>
    <t>Animal</t>
  </si>
  <si>
    <t>Body Weight (kg)</t>
  </si>
  <si>
    <t>Brain Weight (kg)</t>
  </si>
  <si>
    <t>MLP (years)</t>
  </si>
  <si>
    <t>Vdss</t>
  </si>
  <si>
    <t>fu</t>
  </si>
  <si>
    <t>CL/Fu</t>
  </si>
  <si>
    <t>CL/Fu*MLP</t>
  </si>
  <si>
    <t>CL/Fu*BrW</t>
  </si>
  <si>
    <t>Mouse</t>
  </si>
  <si>
    <t>Rat</t>
  </si>
  <si>
    <t>Dog</t>
  </si>
  <si>
    <t>Monkey</t>
  </si>
  <si>
    <t>Human</t>
  </si>
  <si>
    <t>Log BW</t>
  </si>
  <si>
    <t>log CL</t>
  </si>
  <si>
    <t>log CL/Fu</t>
  </si>
  <si>
    <t>log CL/Fu*MLP</t>
  </si>
  <si>
    <t>log CL/Fu*BrW</t>
  </si>
  <si>
    <t>human</t>
  </si>
  <si>
    <t>BW (kg)</t>
  </si>
  <si>
    <t>logBW</t>
  </si>
  <si>
    <t>Log Vd</t>
  </si>
  <si>
    <t>Fu</t>
  </si>
  <si>
    <t>Vd/FU</t>
  </si>
  <si>
    <t>LOG Vd/FU</t>
  </si>
  <si>
    <t>Rfu m-h</t>
  </si>
  <si>
    <t>Rfu r-h</t>
  </si>
  <si>
    <t>Rfu D-h</t>
  </si>
  <si>
    <t>Rfu CK-h</t>
  </si>
  <si>
    <t>a</t>
  </si>
  <si>
    <t>M</t>
  </si>
  <si>
    <t>R</t>
  </si>
  <si>
    <t>CL</t>
  </si>
  <si>
    <t>D</t>
  </si>
  <si>
    <t>10% plasma</t>
  </si>
  <si>
    <t>F%</t>
  </si>
  <si>
    <t>unbound(%)</t>
  </si>
  <si>
    <t>log CL*MLP</t>
  </si>
  <si>
    <t>log CL*BrW</t>
  </si>
  <si>
    <t>CL*MLP</t>
  </si>
  <si>
    <t>CL*BrW</t>
  </si>
  <si>
    <t>if 0.71＜b ≤1</t>
  </si>
  <si>
    <t>if 1＜b ≤1.3</t>
  </si>
  <si>
    <t>if 0.55＜b ≤0.71</t>
  </si>
  <si>
    <t>Fu adjusted</t>
  </si>
  <si>
    <t>X轴</t>
  </si>
  <si>
    <t>Y轴</t>
  </si>
  <si>
    <r>
      <t>Y= a*BW</t>
    </r>
    <r>
      <rPr>
        <vertAlign val="superscript"/>
        <sz val="11"/>
        <color theme="1"/>
        <rFont val="等线"/>
        <family val="2"/>
        <scheme val="minor"/>
      </rPr>
      <t>b</t>
    </r>
  </si>
  <si>
    <t>b</t>
  </si>
  <si>
    <t>R square</t>
  </si>
  <si>
    <t>SAL</t>
  </si>
  <si>
    <t>MLP corrected</t>
  </si>
  <si>
    <t>BrW corrected</t>
  </si>
  <si>
    <t>CL (L/h)</t>
  </si>
  <si>
    <t>Vdss（L）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</si>
</sst>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0"/>
    <numFmt numFmtId="177" formatCode="0.0000"/>
    <numFmt numFmtId="178" formatCode="0.00_);[Red]\(0.00\)"/>
    <numFmt numFmtId="180" formatCode="0.000000"/>
    <numFmt numFmtId="181" formatCode="0.0"/>
    <numFmt numFmtId="182" formatCode="0.00000000"/>
    <numFmt numFmtId="184" formatCode="0.000000000000_ "/>
    <numFmt numFmtId="185" formatCode="0_ "/>
    <numFmt numFmtId="186" formatCode="0.00000000000000"/>
  </numFmts>
  <fonts count="16" x14ac:knownFonts="1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10"/>
      <color theme="1"/>
      <name val="Arial"/>
      <family val="2"/>
    </font>
    <font>
      <sz val="11"/>
      <color rgb="FF7030A0"/>
      <name val="等线"/>
      <family val="3"/>
      <charset val="134"/>
      <scheme val="minor"/>
    </font>
    <font>
      <b/>
      <sz val="11"/>
      <color rgb="FFC00000"/>
      <name val="等线"/>
      <family val="3"/>
      <charset val="134"/>
      <scheme val="minor"/>
    </font>
    <font>
      <sz val="11"/>
      <color theme="9" tint="-0.499984740745262"/>
      <name val="等线"/>
      <family val="3"/>
      <charset val="134"/>
      <scheme val="minor"/>
    </font>
    <font>
      <b/>
      <sz val="11"/>
      <color theme="9" tint="-0.49998474074526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vertAlign val="superscript"/>
      <sz val="11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0" fillId="0" borderId="0"/>
  </cellStyleXfs>
  <cellXfs count="11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" fillId="0" borderId="5" xfId="0" applyFont="1" applyBorder="1">
      <alignment vertical="center"/>
    </xf>
    <xf numFmtId="49" fontId="1" fillId="0" borderId="6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0" fillId="0" borderId="5" xfId="0" applyBorder="1">
      <alignment vertical="center"/>
    </xf>
    <xf numFmtId="0" fontId="2" fillId="0" borderId="6" xfId="0" applyFont="1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178" fontId="4" fillId="0" borderId="9" xfId="0" applyNumberFormat="1" applyFont="1" applyBorder="1">
      <alignment vertical="center"/>
    </xf>
    <xf numFmtId="178" fontId="4" fillId="0" borderId="10" xfId="0" applyNumberFormat="1" applyFont="1" applyBorder="1">
      <alignment vertical="center"/>
    </xf>
    <xf numFmtId="178" fontId="4" fillId="0" borderId="11" xfId="0" applyNumberFormat="1" applyFont="1" applyBorder="1">
      <alignment vertical="center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80" fontId="0" fillId="0" borderId="4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77" fontId="2" fillId="0" borderId="1" xfId="0" applyNumberFormat="1" applyFont="1" applyBorder="1" applyAlignment="1">
      <alignment horizontal="center" vertical="center"/>
    </xf>
    <xf numFmtId="176" fontId="0" fillId="0" borderId="4" xfId="0" applyNumberFormat="1" applyBorder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/>
    </xf>
    <xf numFmtId="181" fontId="0" fillId="0" borderId="1" xfId="0" applyNumberFormat="1" applyBorder="1" applyAlignment="1">
      <alignment horizontal="center"/>
    </xf>
    <xf numFmtId="2" fontId="0" fillId="0" borderId="0" xfId="0" applyNumberFormat="1">
      <alignment vertical="center"/>
    </xf>
    <xf numFmtId="0" fontId="0" fillId="0" borderId="0" xfId="0" applyAlignment="1"/>
    <xf numFmtId="176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  <xf numFmtId="49" fontId="1" fillId="0" borderId="1" xfId="0" applyNumberFormat="1" applyFont="1" applyBorder="1" applyAlignment="1">
      <alignment horizontal="right" vertical="center"/>
    </xf>
    <xf numFmtId="49" fontId="1" fillId="0" borderId="12" xfId="0" applyNumberFormat="1" applyFont="1" applyBorder="1" applyAlignment="1">
      <alignment horizontal="right" vertical="center"/>
    </xf>
    <xf numFmtId="0" fontId="1" fillId="0" borderId="14" xfId="0" applyFont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1" fontId="0" fillId="0" borderId="14" xfId="0" applyNumberFormat="1" applyBorder="1">
      <alignment vertical="center"/>
    </xf>
    <xf numFmtId="0" fontId="0" fillId="0" borderId="6" xfId="0" applyBorder="1" applyAlignment="1">
      <alignment horizontal="right" vertical="center"/>
    </xf>
    <xf numFmtId="2" fontId="0" fillId="0" borderId="6" xfId="0" applyNumberFormat="1" applyBorder="1">
      <alignment vertical="center"/>
    </xf>
    <xf numFmtId="181" fontId="0" fillId="0" borderId="0" xfId="0" applyNumberFormat="1">
      <alignment vertical="center"/>
    </xf>
    <xf numFmtId="176" fontId="0" fillId="0" borderId="7" xfId="0" applyNumberFormat="1" applyBorder="1">
      <alignment vertical="center"/>
    </xf>
    <xf numFmtId="0" fontId="0" fillId="0" borderId="9" xfId="0" applyBorder="1" applyAlignment="1">
      <alignment horizontal="right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6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0" fillId="0" borderId="1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2" fillId="0" borderId="5" xfId="0" applyNumberFormat="1" applyFont="1" applyBorder="1" applyAlignment="1">
      <alignment horizontal="center" vertical="center"/>
    </xf>
    <xf numFmtId="176" fontId="4" fillId="0" borderId="9" xfId="0" applyNumberFormat="1" applyFont="1" applyBorder="1">
      <alignment vertical="center"/>
    </xf>
    <xf numFmtId="0" fontId="4" fillId="0" borderId="0" xfId="0" applyFont="1">
      <alignment vertical="center"/>
    </xf>
    <xf numFmtId="176" fontId="1" fillId="0" borderId="0" xfId="0" applyNumberFormat="1" applyFont="1">
      <alignment vertical="center"/>
    </xf>
    <xf numFmtId="0" fontId="2" fillId="0" borderId="9" xfId="0" applyFont="1" applyBorder="1">
      <alignment vertical="center"/>
    </xf>
    <xf numFmtId="0" fontId="0" fillId="0" borderId="15" xfId="0" applyBorder="1">
      <alignment vertical="center"/>
    </xf>
    <xf numFmtId="2" fontId="0" fillId="0" borderId="0" xfId="0" applyNumberFormat="1" applyAlignment="1">
      <alignment horizontal="center" vertical="center"/>
    </xf>
    <xf numFmtId="177" fontId="0" fillId="0" borderId="5" xfId="0" applyNumberFormat="1" applyBorder="1">
      <alignment vertical="center"/>
    </xf>
    <xf numFmtId="177" fontId="2" fillId="0" borderId="5" xfId="0" applyNumberFormat="1" applyFont="1" applyBorder="1">
      <alignment vertical="center"/>
    </xf>
    <xf numFmtId="181" fontId="0" fillId="0" borderId="0" xfId="0" applyNumberFormat="1" applyAlignment="1">
      <alignment horizontal="center" vertical="center"/>
    </xf>
    <xf numFmtId="177" fontId="0" fillId="0" borderId="15" xfId="0" applyNumberFormat="1" applyBorder="1">
      <alignment vertical="center"/>
    </xf>
    <xf numFmtId="0" fontId="7" fillId="0" borderId="0" xfId="0" applyFont="1">
      <alignment vertical="center"/>
    </xf>
    <xf numFmtId="0" fontId="0" fillId="0" borderId="0" xfId="0" applyAlignment="1" applyProtection="1">
      <protection locked="0"/>
    </xf>
    <xf numFmtId="0" fontId="1" fillId="0" borderId="0" xfId="0" applyFont="1" applyAlignment="1" applyProtection="1">
      <protection locked="0"/>
    </xf>
    <xf numFmtId="176" fontId="0" fillId="0" borderId="1" xfId="0" applyNumberFormat="1" applyBorder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" fillId="0" borderId="1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180" fontId="0" fillId="0" borderId="1" xfId="0" applyNumberFormat="1" applyBorder="1" applyAlignment="1" applyProtection="1">
      <alignment horizontal="center"/>
      <protection locked="0"/>
    </xf>
    <xf numFmtId="177" fontId="0" fillId="0" borderId="1" xfId="0" applyNumberFormat="1" applyBorder="1" applyAlignment="1" applyProtection="1">
      <alignment horizont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3" fillId="0" borderId="1" xfId="0" applyFont="1" applyBorder="1" applyAlignment="1" applyProtection="1">
      <protection locked="0"/>
    </xf>
    <xf numFmtId="176" fontId="1" fillId="0" borderId="1" xfId="0" applyNumberFormat="1" applyFont="1" applyBorder="1" applyAlignment="1" applyProtection="1">
      <alignment horizontal="center" vertical="center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protection locked="0"/>
    </xf>
    <xf numFmtId="0" fontId="14" fillId="0" borderId="1" xfId="0" applyFont="1" applyBorder="1" applyAlignment="1" applyProtection="1">
      <protection locked="0"/>
    </xf>
    <xf numFmtId="186" fontId="0" fillId="0" borderId="1" xfId="0" applyNumberFormat="1" applyBorder="1" applyAlignment="1" applyProtection="1">
      <protection locked="0"/>
    </xf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13" fillId="0" borderId="15" xfId="0" applyFont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177" fontId="0" fillId="2" borderId="1" xfId="0" applyNumberFormat="1" applyFill="1" applyBorder="1" applyAlignment="1" applyProtection="1">
      <alignment horizontal="center" vertical="center"/>
      <protection locked="0"/>
    </xf>
    <xf numFmtId="181" fontId="1" fillId="0" borderId="1" xfId="0" applyNumberFormat="1" applyFont="1" applyBorder="1" applyAlignment="1" applyProtection="1">
      <alignment horizontal="center" vertical="center"/>
      <protection locked="0"/>
    </xf>
    <xf numFmtId="177" fontId="2" fillId="2" borderId="1" xfId="0" applyNumberFormat="1" applyFont="1" applyFill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176" fontId="1" fillId="3" borderId="1" xfId="0" applyNumberFormat="1" applyFont="1" applyFill="1" applyBorder="1" applyAlignment="1" applyProtection="1">
      <alignment horizontal="center"/>
      <protection locked="0"/>
    </xf>
    <xf numFmtId="184" fontId="0" fillId="0" borderId="1" xfId="0" applyNumberFormat="1" applyBorder="1" applyAlignment="1" applyProtection="1">
      <protection locked="0"/>
    </xf>
    <xf numFmtId="1" fontId="8" fillId="0" borderId="1" xfId="0" applyNumberFormat="1" applyFont="1" applyBorder="1" applyAlignment="1" applyProtection="1">
      <alignment horizontal="right"/>
      <protection locked="0"/>
    </xf>
    <xf numFmtId="185" fontId="9" fillId="0" borderId="1" xfId="0" applyNumberFormat="1" applyFont="1" applyBorder="1" applyAlignment="1" applyProtection="1">
      <alignment horizontal="right" vertical="center"/>
      <protection locked="0"/>
    </xf>
    <xf numFmtId="0" fontId="8" fillId="0" borderId="1" xfId="0" applyFont="1" applyBorder="1" applyAlignment="1" applyProtection="1">
      <alignment horizontal="right"/>
      <protection locked="0"/>
    </xf>
  </cellXfs>
  <cellStyles count="2">
    <cellStyle name="常规" xfId="0" builtinId="0"/>
    <cellStyle name="常规 7" xfId="1" xr:uid="{00000000-0005-0000-0000-000031000000}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zh-CN" altLang="en-US"/>
              <a:t>一次拟合曲线</a:t>
            </a:r>
            <a:r>
              <a:rPr lang="en-US" altLang="zh-CN"/>
              <a:t>1</a:t>
            </a:r>
          </a:p>
        </c:rich>
      </c:tx>
      <c:layout>
        <c:manualLayout>
          <c:xMode val="edge"/>
          <c:yMode val="edge"/>
          <c:x val="0.3772036294667061"/>
          <c:y val="1.3469349011514172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'Allometry-CL'!$I$34:$I$37</c:f>
              <c:numCache>
                <c:formatCode>0.000</c:formatCode>
                <c:ptCount val="4"/>
                <c:pt idx="0">
                  <c:v>-2.483068191131987</c:v>
                </c:pt>
                <c:pt idx="1">
                  <c:v>-1.1284270644541212</c:v>
                </c:pt>
                <c:pt idx="2">
                  <c:v>-0.20636325146190146</c:v>
                </c:pt>
                <c:pt idx="3">
                  <c:v>6.6646402157199344E-2</c:v>
                </c:pt>
              </c:numCache>
            </c:numRef>
          </c:xVal>
          <c:yVal>
            <c:numRef>
              <c:f>'Allometry-CL'!$J$34:$J$37</c:f>
              <c:numCache>
                <c:formatCode>0.000</c:formatCode>
                <c:ptCount val="4"/>
                <c:pt idx="0">
                  <c:v>-2.0155848087901331</c:v>
                </c:pt>
                <c:pt idx="1">
                  <c:v>-0.48831630371186441</c:v>
                </c:pt>
                <c:pt idx="2">
                  <c:v>1.1391117100734529</c:v>
                </c:pt>
                <c:pt idx="3">
                  <c:v>1.512386116993484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E-4553-9939-12DE4E584793}"/>
            </c:ext>
          </c:extLst>
        </c:ser>
        <c:ser>
          <c:idx val="1"/>
          <c:order val="1"/>
          <c:tx>
            <c:v>拟合曲线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-2.483068191131987</c:v>
              </c:pt>
              <c:pt idx="1">
                <c:v>6.6646402157199344E-2</c:v>
              </c:pt>
            </c:numLit>
          </c:xVal>
          <c:yVal>
            <c:numLit>
              <c:formatCode>General</c:formatCode>
              <c:ptCount val="2"/>
              <c:pt idx="0">
                <c:v>-2.1282860350828163</c:v>
              </c:pt>
              <c:pt idx="1">
                <c:v>1.4443074990050819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1FE-4553-9939-12DE4E584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39392"/>
        <c:axId val="178923552"/>
      </c:scatterChart>
      <c:valAx>
        <c:axId val="178939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</a:t>
                </a:r>
                <a:r>
                  <a:rPr lang="zh-CN" altLang="en-US"/>
                  <a:t>轴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78923552"/>
        <c:crosses val="autoZero"/>
        <c:crossBetween val="midCat"/>
      </c:valAx>
      <c:valAx>
        <c:axId val="178923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Y </a:t>
                </a:r>
                <a:r>
                  <a:rPr lang="zh-CN" altLang="en-US"/>
                  <a:t>轴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789393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235 Vd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493000874890601E-2"/>
          <c:y val="0.17171296296296301"/>
          <c:w val="0.72411942705114096"/>
          <c:h val="0.7955636774072180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91596940443711E-2"/>
                  <c:y val="0.310326365635349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Vdss_Allometry!$H$24:$H$27</c:f>
              <c:numCache>
                <c:formatCode>0.0</c:formatCode>
                <c:ptCount val="4"/>
                <c:pt idx="0">
                  <c:v>-2.6478174818886377</c:v>
                </c:pt>
                <c:pt idx="1">
                  <c:v>-0.82390874094431876</c:v>
                </c:pt>
                <c:pt idx="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9-47A5-8DB7-EAFDAE71C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28044145945295"/>
          <c:y val="0.50207242634647498"/>
          <c:w val="0.23692950906664201"/>
          <c:h val="0.2099809308309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Vd corretced by</a:t>
            </a:r>
            <a:r>
              <a:rPr lang="en-US" altLang="zh-CN" baseline="0"/>
              <a:t> </a:t>
            </a:r>
            <a:r>
              <a:rPr lang="en-US" altLang="zh-CN"/>
              <a:t>fu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045935723291E-2"/>
          <c:y val="0.16647052146004701"/>
          <c:w val="0.84042819420986303"/>
          <c:h val="0.694485712221752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216390276271901E-2"/>
                  <c:y val="-7.36465418458207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Vdss_Allometry!$H$40:$H$43</c:f>
              <c:numCache>
                <c:formatCode>General</c:formatCode>
                <c:ptCount val="4"/>
                <c:pt idx="0">
                  <c:v>0.57403126772771884</c:v>
                </c:pt>
                <c:pt idx="1">
                  <c:v>0.96926538302383158</c:v>
                </c:pt>
                <c:pt idx="2">
                  <c:v>1.9249918284397733</c:v>
                </c:pt>
                <c:pt idx="3">
                  <c:v>1.853871964321762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D-497C-93B4-B8EC65EAF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Log(BW)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4772533720294"/>
              <c:y val="0.8819260895140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Log(Vd/fu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1.2662178556985501E-2"/>
              <c:y val="0.39232412462203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lang="zh-CN"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altLang="zh-CN" baseline="0"/>
                      <a:t>y = </a:t>
                    </a:r>
                    <a:r>
                      <a:rPr lang="en-US" altLang="zh-CN" baseline="0">
                        <a:solidFill>
                          <a:srgbClr val="FF0000"/>
                        </a:solidFill>
                      </a:rPr>
                      <a:t>1.3475</a:t>
                    </a:r>
                    <a:r>
                      <a:rPr lang="en-US" altLang="zh-CN" baseline="0"/>
                      <a:t>x - 0.6231</a:t>
                    </a:r>
                    <a:br>
                      <a:rPr lang="en-US" altLang="zh-CN" baseline="0"/>
                    </a:br>
                    <a:r>
                      <a:rPr lang="en-US" altLang="zh-CN" baseline="0"/>
                      <a:t>R² = 0.8962</a:t>
                    </a:r>
                    <a:endParaRPr lang="en-US" altLang="zh-CN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 altLang="zh-CN"/>
                </a:p>
              </c:txPr>
            </c:trendlineLbl>
          </c:trendline>
          <c:xVal>
            <c:numRef>
              <c:f>'FICM R-H'!$J$14:$J$17</c:f>
              <c:numCache>
                <c:formatCode>0.000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>
                  <c:v>0.69897000433601886</c:v>
                </c:pt>
              </c:numCache>
            </c:numRef>
          </c:xVal>
          <c:yVal>
            <c:numRef>
              <c:f>'FICM R-H'!$K$14:$K$17</c:f>
              <c:numCache>
                <c:formatCode>0.000</c:formatCode>
                <c:ptCount val="4"/>
                <c:pt idx="0">
                  <c:v>-3.024568191490737</c:v>
                </c:pt>
                <c:pt idx="1">
                  <c:v>-0.78425671736239499</c:v>
                </c:pt>
                <c:pt idx="2">
                  <c:v>1.0748164406451748</c:v>
                </c:pt>
                <c:pt idx="3">
                  <c:v>-0.33254704711004607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EF-4E9E-8A10-B2DF49DA2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19887"/>
        <c:axId val="412394559"/>
      </c:scatterChart>
      <c:valAx>
        <c:axId val="298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Log(BW)</a:t>
                </a:r>
                <a:endParaRPr lang="zh-CN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2394559"/>
        <c:crosses val="autoZero"/>
        <c:crossBetween val="midCat"/>
      </c:valAx>
      <c:valAx>
        <c:axId val="41239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Log(CL</a:t>
                </a:r>
                <a:r>
                  <a:rPr lang="zh-CN" altLang="en-US" sz="1200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8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12700</xdr:colOff>
          <xdr:row>0</xdr:row>
          <xdr:rowOff>311150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0</xdr:colOff>
          <xdr:row>39</xdr:row>
          <xdr:rowOff>88900</xdr:rowOff>
        </xdr:from>
        <xdr:ext cx="539750" cy="396688"/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拟合图2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508000</xdr:colOff>
          <xdr:row>39</xdr:row>
          <xdr:rowOff>12700</xdr:rowOff>
        </xdr:from>
        <xdr:ext cx="539750" cy="396688"/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拟合图3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755650</xdr:colOff>
          <xdr:row>39</xdr:row>
          <xdr:rowOff>69850</xdr:rowOff>
        </xdr:from>
        <xdr:ext cx="539750" cy="390338"/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拟合图4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533400</xdr:colOff>
          <xdr:row>39</xdr:row>
          <xdr:rowOff>152400</xdr:rowOff>
        </xdr:from>
        <xdr:ext cx="533400" cy="391832"/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拟合图1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oneCellAnchor>
    </mc:Choice>
    <mc:Fallback/>
  </mc:AlternateContent>
  <xdr:twoCellAnchor>
    <xdr:from>
      <xdr:col>6</xdr:col>
      <xdr:colOff>790575</xdr:colOff>
      <xdr:row>44</xdr:row>
      <xdr:rowOff>139700</xdr:rowOff>
    </xdr:from>
    <xdr:to>
      <xdr:col>12</xdr:col>
      <xdr:colOff>730250</xdr:colOff>
      <xdr:row>65</xdr:row>
      <xdr:rowOff>149225</xdr:rowOff>
    </xdr:to>
    <xdr:graphicFrame macro="">
      <xdr:nvGraphicFramePr>
        <xdr:cNvPr id="6" name="FittedCurveChart">
          <a:extLst>
            <a:ext uri="{FF2B5EF4-FFF2-40B4-BE49-F238E27FC236}">
              <a16:creationId xmlns:a16="http://schemas.microsoft.com/office/drawing/2014/main" id="{D2228B05-7E96-782A-A0DA-77E4ED414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0.6004</cdr:x>
      <cdr:y>0.93328</cdr:y>
    </cdr:from>
    <cdr:to>
      <cdr:x>1</cdr:x>
      <cdr:y>1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6DCB2A54-A582-ECCA-B7E9-D58D9D2F3A4C}"/>
            </a:ext>
          </a:extLst>
        </cdr:cNvPr>
        <cdr:cNvSpPr txBox="1"/>
      </cdr:nvSpPr>
      <cdr:spPr>
        <a:xfrm xmlns:a="http://schemas.openxmlformats.org/drawingml/2006/main">
          <a:off x="9239250" y="8032750"/>
          <a:ext cx="2540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 kern="1200"/>
            <a:t>y = 1.401x + 1.351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20</xdr:row>
      <xdr:rowOff>44450</xdr:rowOff>
    </xdr:from>
    <xdr:to>
      <xdr:col>15</xdr:col>
      <xdr:colOff>736600</xdr:colOff>
      <xdr:row>35</xdr:row>
      <xdr:rowOff>117475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47625</xdr:colOff>
      <xdr:row>19</xdr:row>
      <xdr:rowOff>0</xdr:rowOff>
    </xdr:from>
    <xdr:to>
      <xdr:col>2</xdr:col>
      <xdr:colOff>591820</xdr:colOff>
      <xdr:row>22</xdr:row>
      <xdr:rowOff>2273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19484" t="23980" b="1742"/>
        <a:stretch>
          <a:fillRect/>
        </a:stretch>
      </xdr:blipFill>
      <xdr:spPr>
        <a:xfrm>
          <a:off x="47625" y="3438525"/>
          <a:ext cx="1915795" cy="544830"/>
        </a:xfrm>
        <a:prstGeom prst="rect">
          <a:avLst/>
        </a:prstGeom>
      </xdr:spPr>
    </xdr:pic>
    <xdr:clientData/>
  </xdr:twoCellAnchor>
  <xdr:twoCellAnchor>
    <xdr:from>
      <xdr:col>8</xdr:col>
      <xdr:colOff>549275</xdr:colOff>
      <xdr:row>36</xdr:row>
      <xdr:rowOff>152399</xdr:rowOff>
    </xdr:from>
    <xdr:to>
      <xdr:col>15</xdr:col>
      <xdr:colOff>146050</xdr:colOff>
      <xdr:row>50</xdr:row>
      <xdr:rowOff>41274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210994</xdr:colOff>
      <xdr:row>19</xdr:row>
      <xdr:rowOff>63503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812020" cy="35020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387350</xdr:colOff>
      <xdr:row>0</xdr:row>
      <xdr:rowOff>175078</xdr:rowOff>
    </xdr:from>
    <xdr:to>
      <xdr:col>6</xdr:col>
      <xdr:colOff>281867</xdr:colOff>
      <xdr:row>16</xdr:row>
      <xdr:rowOff>85219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0" y="174625"/>
          <a:ext cx="4008755" cy="2806065"/>
        </a:xfrm>
        <a:prstGeom prst="rect">
          <a:avLst/>
        </a:prstGeom>
      </xdr:spPr>
    </xdr:pic>
    <xdr:clientData/>
  </xdr:twoCellAnchor>
  <xdr:twoCellAnchor>
    <xdr:from>
      <xdr:col>11</xdr:col>
      <xdr:colOff>742950</xdr:colOff>
      <xdr:row>13</xdr:row>
      <xdr:rowOff>133350</xdr:rowOff>
    </xdr:from>
    <xdr:to>
      <xdr:col>18</xdr:col>
      <xdr:colOff>338610</xdr:colOff>
      <xdr:row>29</xdr:row>
      <xdr:rowOff>105024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cuments\HUMANPK\Human%20PK%20Projection%200305_v1%20&#30340;&#21103;&#26412;.htm" TargetMode="External"/><Relationship Id="rId1" Type="http://schemas.openxmlformats.org/officeDocument/2006/relationships/externalLinkPath" Target="/Documents/HUMANPK/Human%20PK%20Projection%200305_v1%20&#30340;&#21103;&#26412;.h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"/>
      <sheetName val="CL and Vss in preclinical"/>
      <sheetName val="IVIVE for CL"/>
      <sheetName val="Allometry-CL"/>
      <sheetName val="FCIM"/>
      <sheetName val="Wajim-CL"/>
      <sheetName val="Vdss_Allometry"/>
      <sheetName val="FICM R-H"/>
      <sheetName val="F%_Average"/>
    </sheetNames>
    <sheetDataSet>
      <sheetData sheetId="0"/>
      <sheetData sheetId="1">
        <row r="3">
          <cell r="F3">
            <v>3.2880000000000006E-3</v>
          </cell>
          <cell r="H3">
            <v>4.0999999999999995E-2</v>
          </cell>
        </row>
        <row r="4">
          <cell r="F4">
            <v>7.4400000000000008E-2</v>
          </cell>
          <cell r="H4">
            <v>0.86</v>
          </cell>
        </row>
        <row r="5">
          <cell r="F5">
            <v>0.62178</v>
          </cell>
          <cell r="H5">
            <v>17.689399999999999</v>
          </cell>
        </row>
        <row r="6">
          <cell r="F6">
            <v>1.1658600000000001</v>
          </cell>
          <cell r="H6">
            <v>17.136000000000003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74"/>
  <sheetViews>
    <sheetView tabSelected="1" topLeftCell="H18" zoomScale="85" zoomScaleNormal="85" workbookViewId="0">
      <selection activeCell="O35" sqref="O35"/>
    </sheetView>
  </sheetViews>
  <sheetFormatPr defaultColWidth="8.6640625" defaultRowHeight="14" x14ac:dyDescent="0.3"/>
  <cols>
    <col min="1" max="1" width="9.08203125" style="74" customWidth="1"/>
    <col min="2" max="2" width="24" style="74" customWidth="1"/>
    <col min="3" max="3" width="17.25" style="74" customWidth="1"/>
    <col min="4" max="4" width="13.08203125" style="74" customWidth="1"/>
    <col min="5" max="5" width="20.75" style="74" customWidth="1"/>
    <col min="6" max="6" width="17.75" style="74" customWidth="1"/>
    <col min="7" max="7" width="11.4140625" style="74" customWidth="1"/>
    <col min="8" max="8" width="16.83203125" style="74" customWidth="1"/>
    <col min="9" max="9" width="16.08203125" style="74" customWidth="1"/>
    <col min="10" max="10" width="12.1640625" style="74" customWidth="1"/>
    <col min="11" max="11" width="17.75" style="74" customWidth="1"/>
    <col min="12" max="12" width="17.6640625" style="74" customWidth="1"/>
    <col min="13" max="13" width="16" style="74" customWidth="1"/>
    <col min="14" max="14" width="21.08203125" style="74" customWidth="1"/>
    <col min="15" max="15" width="20.4140625" style="74" customWidth="1"/>
    <col min="16" max="16" width="19" style="74" customWidth="1"/>
    <col min="17" max="17" width="15.5" style="74" customWidth="1"/>
    <col min="18" max="18" width="16.75" style="74" customWidth="1"/>
    <col min="19" max="16384" width="8.6640625" style="74"/>
  </cols>
  <sheetData>
    <row r="1" spans="1:1" ht="25" customHeight="1" x14ac:dyDescent="0.3"/>
    <row r="14" spans="1:1" x14ac:dyDescent="0.3">
      <c r="A14" s="75"/>
    </row>
    <row r="15" spans="1:1" x14ac:dyDescent="0.3">
      <c r="A15" s="75"/>
    </row>
    <row r="16" spans="1:1" x14ac:dyDescent="0.3">
      <c r="A16" s="75"/>
    </row>
    <row r="22" spans="7:18" x14ac:dyDescent="0.3">
      <c r="G22" s="16" t="s">
        <v>9</v>
      </c>
      <c r="H22" s="17" t="s">
        <v>10</v>
      </c>
      <c r="I22" s="17" t="s">
        <v>11</v>
      </c>
      <c r="J22" s="17" t="s">
        <v>12</v>
      </c>
      <c r="K22" s="79" t="s">
        <v>7</v>
      </c>
      <c r="L22" s="80" t="s">
        <v>64</v>
      </c>
      <c r="M22" s="86" t="s">
        <v>32</v>
      </c>
      <c r="N22" s="79" t="s">
        <v>49</v>
      </c>
      <c r="O22" s="79" t="s">
        <v>50</v>
      </c>
      <c r="P22" s="87" t="s">
        <v>15</v>
      </c>
      <c r="Q22" s="87" t="s">
        <v>16</v>
      </c>
      <c r="R22" s="87" t="s">
        <v>17</v>
      </c>
    </row>
    <row r="23" spans="7:18" x14ac:dyDescent="0.3">
      <c r="G23" s="16" t="s">
        <v>18</v>
      </c>
      <c r="H23" s="20">
        <v>2.5000000000000001E-2</v>
      </c>
      <c r="I23" s="21">
        <v>4.0000000000000002E-4</v>
      </c>
      <c r="J23" s="33">
        <f t="shared" ref="J23:J27" si="0">185.4*(I23^0.636)*(H23^-0.225)</f>
        <v>2.9341572304717549</v>
      </c>
      <c r="K23" s="81">
        <f>'[1]CL and Vss in preclinical'!F3</f>
        <v>3.2880000000000006E-3</v>
      </c>
      <c r="L23" s="82">
        <f>'[1]CL and Vss in preclinical'!H3</f>
        <v>4.0999999999999995E-2</v>
      </c>
      <c r="M23" s="103">
        <v>0.05</v>
      </c>
      <c r="N23" s="104">
        <f>K23*J23</f>
        <v>9.6475089737911319E-3</v>
      </c>
      <c r="O23" s="104">
        <f>K23*I23</f>
        <v>1.3152000000000003E-6</v>
      </c>
      <c r="P23" s="83">
        <f>K23/M23</f>
        <v>6.5760000000000013E-2</v>
      </c>
      <c r="Q23" s="90">
        <f>P23*J23</f>
        <v>0.19295017947582263</v>
      </c>
      <c r="R23" s="82">
        <f>P23*I23</f>
        <v>2.6304000000000008E-5</v>
      </c>
    </row>
    <row r="24" spans="7:18" x14ac:dyDescent="0.3">
      <c r="G24" s="16" t="s">
        <v>19</v>
      </c>
      <c r="H24" s="20">
        <v>0.3</v>
      </c>
      <c r="I24" s="20">
        <v>1.8E-3</v>
      </c>
      <c r="J24" s="22">
        <f t="shared" si="0"/>
        <v>4.3662717370424211</v>
      </c>
      <c r="K24" s="83">
        <f>'[1]CL and Vss in preclinical'!F4</f>
        <v>7.4400000000000008E-2</v>
      </c>
      <c r="L24" s="83">
        <f>'[1]CL and Vss in preclinical'!H4</f>
        <v>0.86</v>
      </c>
      <c r="M24" s="105">
        <v>0.02</v>
      </c>
      <c r="N24" s="104">
        <f t="shared" ref="N24:N26" si="1">K24*J24</f>
        <v>0.32485061723595615</v>
      </c>
      <c r="O24" s="104">
        <f t="shared" ref="O24:O26" si="2">K24*I24</f>
        <v>1.3392000000000002E-4</v>
      </c>
      <c r="P24" s="83">
        <f>K24/M24</f>
        <v>3.72</v>
      </c>
      <c r="Q24" s="106">
        <f>P24*J24</f>
        <v>16.242530861797807</v>
      </c>
      <c r="R24" s="82">
        <f>P24*I24</f>
        <v>6.6960000000000006E-3</v>
      </c>
    </row>
    <row r="25" spans="7:18" x14ac:dyDescent="0.3">
      <c r="G25" s="16" t="s">
        <v>20</v>
      </c>
      <c r="H25" s="20">
        <v>10</v>
      </c>
      <c r="I25" s="20">
        <v>0.08</v>
      </c>
      <c r="J25" s="22">
        <f t="shared" si="0"/>
        <v>22.155163610329485</v>
      </c>
      <c r="K25" s="83">
        <f>'[1]CL and Vss in preclinical'!F5</f>
        <v>0.62178</v>
      </c>
      <c r="L25" s="83">
        <f>'[1]CL and Vss in preclinical'!H5</f>
        <v>17.689399999999999</v>
      </c>
      <c r="M25" s="107">
        <v>0.03</v>
      </c>
      <c r="N25" s="104">
        <f t="shared" si="1"/>
        <v>13.775637629630667</v>
      </c>
      <c r="O25" s="104">
        <f t="shared" si="2"/>
        <v>4.9742399999999999E-2</v>
      </c>
      <c r="P25" s="83">
        <f>K25/M25</f>
        <v>20.725999999999999</v>
      </c>
      <c r="Q25" s="108">
        <f>P25*J25</f>
        <v>459.18792098768887</v>
      </c>
      <c r="R25" s="82">
        <f>P25*I25</f>
        <v>1.65808</v>
      </c>
    </row>
    <row r="26" spans="7:18" x14ac:dyDescent="0.3">
      <c r="G26" s="16" t="s">
        <v>21</v>
      </c>
      <c r="H26" s="20">
        <v>5</v>
      </c>
      <c r="I26" s="20">
        <v>0.09</v>
      </c>
      <c r="J26" s="22">
        <f t="shared" si="0"/>
        <v>27.908706908950666</v>
      </c>
      <c r="K26" s="76">
        <f>'[1]CL and Vss in preclinical'!F6</f>
        <v>1.1658600000000001</v>
      </c>
      <c r="L26" s="83">
        <f>'[1]CL and Vss in preclinical'!H6</f>
        <v>17.136000000000003</v>
      </c>
      <c r="M26" s="103">
        <v>0.05</v>
      </c>
      <c r="N26" s="104">
        <f t="shared" si="1"/>
        <v>32.537645036869229</v>
      </c>
      <c r="O26" s="104">
        <f t="shared" si="2"/>
        <v>0.1049274</v>
      </c>
      <c r="P26" s="83">
        <f>K26/M26</f>
        <v>23.3172</v>
      </c>
      <c r="Q26" s="108">
        <f>P26*J26</f>
        <v>650.75290073738449</v>
      </c>
      <c r="R26" s="82">
        <f>P26*I26</f>
        <v>2.0985480000000001</v>
      </c>
    </row>
    <row r="27" spans="7:18" x14ac:dyDescent="0.3">
      <c r="G27" s="16" t="s">
        <v>22</v>
      </c>
      <c r="H27" s="20">
        <v>60</v>
      </c>
      <c r="I27" s="20">
        <v>1.4</v>
      </c>
      <c r="J27" s="33">
        <f t="shared" si="0"/>
        <v>91.403563816054429</v>
      </c>
      <c r="K27" s="109">
        <f>P27*M27</f>
        <v>7.2330785854657353E-2</v>
      </c>
      <c r="L27" s="110"/>
      <c r="M27" s="103">
        <v>0.01</v>
      </c>
      <c r="N27" s="88"/>
      <c r="O27" s="88"/>
      <c r="P27" s="111">
        <f>10^L38</f>
        <v>7.2330785854657353</v>
      </c>
      <c r="Q27" s="112"/>
      <c r="R27" s="113"/>
    </row>
    <row r="30" spans="7:18" x14ac:dyDescent="0.3">
      <c r="H30" s="74" t="s">
        <v>55</v>
      </c>
      <c r="I30" s="74" t="s">
        <v>56</v>
      </c>
      <c r="N30" s="84"/>
      <c r="O30" s="77"/>
    </row>
    <row r="31" spans="7:18" x14ac:dyDescent="0.3">
      <c r="G31" s="88"/>
      <c r="H31" s="89"/>
      <c r="I31" s="98"/>
      <c r="J31" s="98"/>
      <c r="K31" s="98"/>
      <c r="L31" s="97" t="s">
        <v>54</v>
      </c>
      <c r="M31" s="97"/>
      <c r="N31" s="97"/>
      <c r="O31" s="77"/>
    </row>
    <row r="32" spans="7:18" x14ac:dyDescent="0.3">
      <c r="G32" s="88"/>
      <c r="H32" s="89"/>
      <c r="I32" s="89" t="s">
        <v>53</v>
      </c>
      <c r="J32" s="89" t="s">
        <v>51</v>
      </c>
      <c r="K32" s="89" t="s">
        <v>52</v>
      </c>
      <c r="L32" s="89" t="s">
        <v>53</v>
      </c>
      <c r="M32" s="89" t="s">
        <v>51</v>
      </c>
      <c r="N32" s="89" t="s">
        <v>52</v>
      </c>
      <c r="O32" s="77"/>
    </row>
    <row r="33" spans="7:14" x14ac:dyDescent="0.3">
      <c r="G33" s="88"/>
      <c r="H33" s="89" t="s">
        <v>23</v>
      </c>
      <c r="I33" s="89" t="s">
        <v>24</v>
      </c>
      <c r="J33" s="89" t="s">
        <v>47</v>
      </c>
      <c r="K33" s="89" t="s">
        <v>48</v>
      </c>
      <c r="L33" s="89" t="s">
        <v>25</v>
      </c>
      <c r="M33" s="89" t="s">
        <v>26</v>
      </c>
      <c r="N33" s="89" t="s">
        <v>27</v>
      </c>
    </row>
    <row r="34" spans="7:14" x14ac:dyDescent="0.3">
      <c r="G34" s="78" t="s">
        <v>18</v>
      </c>
      <c r="H34" s="76">
        <f t="shared" ref="H34:H37" si="3">LOG(H23)</f>
        <v>-1.6020599913279623</v>
      </c>
      <c r="I34" s="90">
        <f>LOG(K23)</f>
        <v>-2.483068191131987</v>
      </c>
      <c r="J34" s="90">
        <f>LOG(N23)</f>
        <v>-2.0155848087901331</v>
      </c>
      <c r="K34" s="90">
        <f>LOG(O23)</f>
        <v>-5.8810081998040244</v>
      </c>
      <c r="L34" s="90">
        <f>LOG(P23)</f>
        <v>-1.1820381954680059</v>
      </c>
      <c r="M34" s="90">
        <f>LOG(Q23)</f>
        <v>-0.71455481312615199</v>
      </c>
      <c r="N34" s="90">
        <f>LOG(R23)</f>
        <v>-4.5799782041400432</v>
      </c>
    </row>
    <row r="35" spans="7:14" x14ac:dyDescent="0.3">
      <c r="G35" s="78" t="s">
        <v>19</v>
      </c>
      <c r="H35" s="76">
        <f t="shared" si="3"/>
        <v>-0.52287874528033762</v>
      </c>
      <c r="I35" s="90">
        <f t="shared" ref="I35:I37" si="4">LOG(K24)</f>
        <v>-1.1284270644541212</v>
      </c>
      <c r="J35" s="90">
        <f t="shared" ref="J35:J37" si="5">LOG(N24)</f>
        <v>-0.48831630371186441</v>
      </c>
      <c r="K35" s="90">
        <f t="shared" ref="K35:K37" si="6">LOG(O24)</f>
        <v>-3.873154559350815</v>
      </c>
      <c r="L35" s="90">
        <f t="shared" ref="L35:N37" si="7">LOG(P24)</f>
        <v>0.57054293988189753</v>
      </c>
      <c r="M35" s="91">
        <f t="shared" si="7"/>
        <v>1.2106537006241544</v>
      </c>
      <c r="N35" s="90">
        <f t="shared" si="7"/>
        <v>-2.1741845550147962</v>
      </c>
    </row>
    <row r="36" spans="7:14" x14ac:dyDescent="0.3">
      <c r="G36" s="78" t="s">
        <v>20</v>
      </c>
      <c r="H36" s="76">
        <f t="shared" si="3"/>
        <v>1</v>
      </c>
      <c r="I36" s="90">
        <f t="shared" si="4"/>
        <v>-0.20636325146190146</v>
      </c>
      <c r="J36" s="90">
        <f t="shared" si="5"/>
        <v>1.1391117100734529</v>
      </c>
      <c r="K36" s="90">
        <f t="shared" si="6"/>
        <v>-1.3032732644699578</v>
      </c>
      <c r="L36" s="90">
        <f t="shared" si="7"/>
        <v>1.316515493818436</v>
      </c>
      <c r="M36" s="91">
        <f t="shared" si="7"/>
        <v>2.6619904553537905</v>
      </c>
      <c r="N36" s="90">
        <f t="shared" si="7"/>
        <v>0.2196054808103797</v>
      </c>
    </row>
    <row r="37" spans="7:14" x14ac:dyDescent="0.3">
      <c r="G37" s="78" t="s">
        <v>21</v>
      </c>
      <c r="H37" s="76">
        <f t="shared" si="3"/>
        <v>0.69897000433601886</v>
      </c>
      <c r="I37" s="90">
        <f t="shared" si="4"/>
        <v>6.6646402157199344E-2</v>
      </c>
      <c r="J37" s="90">
        <f t="shared" si="5"/>
        <v>1.512386116993484</v>
      </c>
      <c r="K37" s="90">
        <f t="shared" si="6"/>
        <v>-0.97911108840347583</v>
      </c>
      <c r="L37" s="90">
        <f t="shared" si="7"/>
        <v>1.3676763978211806</v>
      </c>
      <c r="M37" s="91">
        <f t="shared" si="7"/>
        <v>2.8134161126574653</v>
      </c>
      <c r="N37" s="90">
        <f t="shared" si="7"/>
        <v>0.32191890726050537</v>
      </c>
    </row>
    <row r="38" spans="7:14" x14ac:dyDescent="0.3">
      <c r="G38" s="78" t="s">
        <v>28</v>
      </c>
      <c r="H38" s="76">
        <f>LOG(H27)</f>
        <v>1.7781512503836436</v>
      </c>
      <c r="I38" s="92">
        <f>ROUND(INDEX(LINEST(I34:I37,H34:H37,TRUE,TRUE),1,1),4)*H38+ROUND(INDEX(LINEST(I34:I37,H34:H37,TRUE,TRUE),1,2),4)</f>
        <v>0.82607175523405207</v>
      </c>
      <c r="J38" s="88"/>
      <c r="K38" s="88"/>
      <c r="L38" s="92">
        <f>ROUND(INDEX(LINEST(L34:L37,H34:H37,TRUE,TRUE),1,1),4)*H38+ROUND(INDEX(LINEST(I34:I37,H34:H37,TRUE,TRUE),1,2),4)</f>
        <v>0.85932318361622617</v>
      </c>
      <c r="M38" s="93">
        <f>ROUND(INDEX(LINEST(M34:M37,H34:H37,TRUE,TRUE),1,1),4)*H38+ROUND(INDEX(LINEST(I34:I37,H34:H37,TRUE,TRUE),1,2),4)</f>
        <v>1.559914776267382</v>
      </c>
      <c r="N38" s="93">
        <f>ROUND(INDEX(LINEST(N34:N37,H34:H37,TRUE,TRUE),1,1),4)*H38+ROUND(INDEX(LINEST(I34:I37,H34:H37,TRUE,TRUE),1,2),4)</f>
        <v>2.5898199804895881</v>
      </c>
    </row>
    <row r="50" spans="11:11" x14ac:dyDescent="0.3">
      <c r="K50" s="85"/>
    </row>
    <row r="69" spans="8:14" ht="16.5" x14ac:dyDescent="0.3">
      <c r="H69" s="94" t="s">
        <v>57</v>
      </c>
      <c r="L69" s="99" t="s">
        <v>54</v>
      </c>
      <c r="M69" s="99"/>
      <c r="N69" s="99"/>
    </row>
    <row r="70" spans="8:14" x14ac:dyDescent="0.3">
      <c r="H70" s="88"/>
      <c r="I70" s="95" t="s">
        <v>60</v>
      </c>
      <c r="J70" s="95" t="s">
        <v>61</v>
      </c>
      <c r="K70" s="95" t="s">
        <v>62</v>
      </c>
      <c r="L70" s="95" t="s">
        <v>60</v>
      </c>
      <c r="M70" s="95" t="s">
        <v>61</v>
      </c>
      <c r="N70" s="95" t="s">
        <v>62</v>
      </c>
    </row>
    <row r="71" spans="8:14" x14ac:dyDescent="0.3">
      <c r="H71" s="95" t="s">
        <v>39</v>
      </c>
      <c r="I71" s="88"/>
      <c r="J71" s="88"/>
      <c r="K71" s="88"/>
      <c r="L71" s="88"/>
      <c r="M71" s="88"/>
      <c r="N71" s="88"/>
    </row>
    <row r="72" spans="8:14" x14ac:dyDescent="0.3">
      <c r="H72" s="95" t="s">
        <v>58</v>
      </c>
      <c r="I72" s="88"/>
      <c r="J72" s="88"/>
      <c r="K72" s="88"/>
      <c r="L72" s="88"/>
      <c r="M72" s="88"/>
      <c r="N72" s="88"/>
    </row>
    <row r="73" spans="8:14" x14ac:dyDescent="0.3">
      <c r="H73" s="95" t="s">
        <v>59</v>
      </c>
      <c r="I73" s="88"/>
      <c r="J73" s="88"/>
      <c r="K73" s="88"/>
      <c r="L73" s="88"/>
      <c r="M73" s="88"/>
      <c r="N73" s="88"/>
    </row>
    <row r="74" spans="8:14" x14ac:dyDescent="0.3">
      <c r="H74" s="89" t="s">
        <v>63</v>
      </c>
      <c r="I74" s="96">
        <f>10^I38</f>
        <v>6.6999529859194586</v>
      </c>
      <c r="J74" s="88">
        <f>(10^J38)/J27</f>
        <v>1.0940492451831037E-2</v>
      </c>
      <c r="K74" s="88">
        <f>(10^K38)/I27</f>
        <v>0.7142857142857143</v>
      </c>
      <c r="L74" s="88">
        <f>(10^L38)*M27</f>
        <v>7.2330785854657353E-2</v>
      </c>
      <c r="M74" s="88">
        <f>(10^M38)*M27/J27</f>
        <v>3.9714732995147035E-3</v>
      </c>
      <c r="N74" s="88">
        <f>(10^N38)*M27/I27</f>
        <v>2.7777422515387671</v>
      </c>
    </row>
  </sheetData>
  <sheetProtection autoFilter="0" pivotTables="0"/>
  <mergeCells count="3">
    <mergeCell ref="L31:N31"/>
    <mergeCell ref="I31:K31"/>
    <mergeCell ref="L69:N69"/>
  </mergeCells>
  <phoneticPr fontId="11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ltText="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12700</xdr:colOff>
                <xdr:row>0</xdr:row>
                <xdr:rowOff>311150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4" r:id="rId5" name="Button 4">
          <controlPr defaultSize="0" print="0" autoFill="0" autoPict="0" macro="[0]!PlotFittedCurve32">
            <anchor moveWithCells="1">
              <from>
                <xdr:col>10</xdr:col>
                <xdr:colOff>0</xdr:colOff>
                <xdr:row>39</xdr:row>
                <xdr:rowOff>88900</xdr:rowOff>
              </from>
              <to>
                <xdr:col>10</xdr:col>
                <xdr:colOff>539750</xdr:colOff>
                <xdr:row>41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6" name="Button 6">
          <controlPr defaultSize="0" print="0" autoFill="0" autoPict="0" macro="[0]!PlotFittedCurve33">
            <anchor moveWithCells="1">
              <from>
                <xdr:col>10</xdr:col>
                <xdr:colOff>508000</xdr:colOff>
                <xdr:row>39</xdr:row>
                <xdr:rowOff>12700</xdr:rowOff>
              </from>
              <to>
                <xdr:col>10</xdr:col>
                <xdr:colOff>1047750</xdr:colOff>
                <xdr:row>41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7" name="Button 7">
          <controlPr defaultSize="0" print="0" autoFill="0" autoPict="0" macro="[0]!PlotFittedCurve34">
            <anchor moveWithCells="1">
              <from>
                <xdr:col>11</xdr:col>
                <xdr:colOff>755650</xdr:colOff>
                <xdr:row>39</xdr:row>
                <xdr:rowOff>69850</xdr:rowOff>
              </from>
              <to>
                <xdr:col>11</xdr:col>
                <xdr:colOff>1295400</xdr:colOff>
                <xdr:row>41</xdr:row>
                <xdr:rowOff>101600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8" name="Button 9">
          <controlPr defaultSize="0" print="0" autoFill="0" autoPict="0" macro="[0]!PlotFittedCurve31">
            <anchor moveWithCells="1">
              <from>
                <xdr:col>8</xdr:col>
                <xdr:colOff>533400</xdr:colOff>
                <xdr:row>39</xdr:row>
                <xdr:rowOff>152400</xdr:rowOff>
              </from>
              <to>
                <xdr:col>8</xdr:col>
                <xdr:colOff>1066800</xdr:colOff>
                <xdr:row>42</xdr:row>
                <xdr:rowOff>6350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3:Q59"/>
  <sheetViews>
    <sheetView topLeftCell="A13" workbookViewId="0">
      <selection activeCell="H46" sqref="H46"/>
    </sheetView>
  </sheetViews>
  <sheetFormatPr defaultColWidth="9" defaultRowHeight="14" x14ac:dyDescent="0.3"/>
  <cols>
    <col min="5" max="5" width="9.83203125" customWidth="1"/>
    <col min="6" max="6" width="21.83203125" customWidth="1"/>
    <col min="8" max="8" width="13.33203125" customWidth="1"/>
    <col min="16" max="16" width="16.4140625" customWidth="1"/>
    <col min="18" max="18" width="13.6640625" customWidth="1"/>
    <col min="19" max="19" width="8.6640625" customWidth="1"/>
  </cols>
  <sheetData>
    <row r="23" spans="3:17" x14ac:dyDescent="0.3">
      <c r="C23" s="41" t="s">
        <v>0</v>
      </c>
      <c r="D23" s="41" t="s">
        <v>29</v>
      </c>
      <c r="E23" s="42" t="s">
        <v>30</v>
      </c>
      <c r="F23" s="43" t="s">
        <v>6</v>
      </c>
      <c r="G23" s="44" t="s">
        <v>8</v>
      </c>
      <c r="H23" s="45" t="s">
        <v>31</v>
      </c>
    </row>
    <row r="24" spans="3:17" x14ac:dyDescent="0.3">
      <c r="C24" s="46" t="s">
        <v>18</v>
      </c>
      <c r="D24" s="47">
        <v>2.5000000000000001E-2</v>
      </c>
      <c r="E24" s="48">
        <f>LOG10(D24)</f>
        <v>-1.6020599913279623</v>
      </c>
      <c r="F24">
        <v>0.09</v>
      </c>
      <c r="G24" s="47">
        <v>2.2499999999999998E-3</v>
      </c>
      <c r="H24" s="49">
        <f>LOG(G24)</f>
        <v>-2.6478174818886377</v>
      </c>
    </row>
    <row r="25" spans="3:17" x14ac:dyDescent="0.3">
      <c r="C25" s="50" t="s">
        <v>19</v>
      </c>
      <c r="D25" s="51">
        <v>0.3</v>
      </c>
      <c r="E25" s="9">
        <f t="shared" ref="E25:E28" si="0">LOG10(D25)</f>
        <v>-0.52287874528033762</v>
      </c>
      <c r="F25">
        <v>0.5</v>
      </c>
      <c r="G25" s="11">
        <v>0.15</v>
      </c>
      <c r="H25" s="52">
        <f>LOG(G25)</f>
        <v>-0.82390874094431876</v>
      </c>
    </row>
    <row r="26" spans="3:17" x14ac:dyDescent="0.3">
      <c r="C26" s="50" t="s">
        <v>20</v>
      </c>
      <c r="D26" s="11">
        <v>10</v>
      </c>
      <c r="E26" s="9">
        <f t="shared" si="0"/>
        <v>1</v>
      </c>
      <c r="G26" s="11">
        <v>12.2</v>
      </c>
      <c r="H26" s="52"/>
    </row>
    <row r="27" spans="3:17" x14ac:dyDescent="0.3">
      <c r="C27" s="50" t="s">
        <v>21</v>
      </c>
      <c r="D27" s="11">
        <v>5</v>
      </c>
      <c r="E27" s="53">
        <f t="shared" si="0"/>
        <v>0.69897000433601886</v>
      </c>
      <c r="F27">
        <v>0.1</v>
      </c>
      <c r="G27" s="11">
        <v>0.5</v>
      </c>
      <c r="H27" s="52">
        <f>LOG(G27)</f>
        <v>-0.3010299956639812</v>
      </c>
    </row>
    <row r="28" spans="3:17" x14ac:dyDescent="0.3">
      <c r="C28" s="54" t="s">
        <v>1</v>
      </c>
      <c r="D28" s="55">
        <v>70</v>
      </c>
      <c r="E28" s="56">
        <f t="shared" si="0"/>
        <v>1.8450980400142569</v>
      </c>
      <c r="F28">
        <f>G28/D28</f>
        <v>0.76063082550151162</v>
      </c>
      <c r="G28" s="57">
        <f>10^H28</f>
        <v>53.244157785105813</v>
      </c>
      <c r="H28" s="58">
        <f>1.2287*E28-0.5408</f>
        <v>1.7262719617655176</v>
      </c>
      <c r="Q28" s="73"/>
    </row>
    <row r="29" spans="3:17" x14ac:dyDescent="0.3">
      <c r="G29" s="57">
        <f>10^H29</f>
        <v>11.99027700502498</v>
      </c>
      <c r="H29" s="58">
        <f>1.0069*E28-0.779</f>
        <v>1.0788292164903552</v>
      </c>
    </row>
    <row r="39" spans="3:8" x14ac:dyDescent="0.3">
      <c r="E39" t="s">
        <v>32</v>
      </c>
      <c r="F39" s="44" t="s">
        <v>8</v>
      </c>
      <c r="G39" t="s">
        <v>33</v>
      </c>
      <c r="H39" t="s">
        <v>34</v>
      </c>
    </row>
    <row r="40" spans="3:8" x14ac:dyDescent="0.3">
      <c r="C40" s="46" t="s">
        <v>18</v>
      </c>
      <c r="D40" s="47">
        <v>2.5000000000000001E-2</v>
      </c>
      <c r="E40" s="59">
        <v>5.9999999999999995E-4</v>
      </c>
      <c r="F40" s="47">
        <v>2.2499999999999998E-3</v>
      </c>
      <c r="G40">
        <f>G24/E40</f>
        <v>3.75</v>
      </c>
      <c r="H40">
        <f>LOG(G40)</f>
        <v>0.57403126772771884</v>
      </c>
    </row>
    <row r="41" spans="3:8" x14ac:dyDescent="0.3">
      <c r="C41" s="50" t="s">
        <v>19</v>
      </c>
      <c r="D41" s="11">
        <v>0.3</v>
      </c>
      <c r="E41" s="60">
        <f>1.61/100</f>
        <v>1.61E-2</v>
      </c>
      <c r="F41" s="11">
        <v>0.15</v>
      </c>
      <c r="G41">
        <f>G25/E41</f>
        <v>9.316770186335404</v>
      </c>
      <c r="H41">
        <f>LOG(G41)</f>
        <v>0.96926538302383158</v>
      </c>
    </row>
    <row r="42" spans="3:8" x14ac:dyDescent="0.3">
      <c r="C42" s="61" t="s">
        <v>20</v>
      </c>
      <c r="D42" s="11">
        <v>10</v>
      </c>
      <c r="E42" s="62">
        <v>0.14499999999999999</v>
      </c>
      <c r="F42" s="11">
        <v>12.2</v>
      </c>
      <c r="G42">
        <f>G26/E42</f>
        <v>84.137931034482762</v>
      </c>
      <c r="H42">
        <f>LOG(G42)</f>
        <v>1.9249918284397733</v>
      </c>
    </row>
    <row r="43" spans="3:8" x14ac:dyDescent="0.3">
      <c r="C43" s="61" t="s">
        <v>21</v>
      </c>
      <c r="D43" s="11">
        <v>5</v>
      </c>
      <c r="E43">
        <v>7.0000000000000001E-3</v>
      </c>
      <c r="F43" s="11">
        <v>0.5</v>
      </c>
      <c r="G43">
        <f>G27/E43</f>
        <v>71.428571428571431</v>
      </c>
      <c r="H43">
        <f>LOG(G43)</f>
        <v>1.853871964321762</v>
      </c>
    </row>
    <row r="44" spans="3:8" x14ac:dyDescent="0.3">
      <c r="C44" t="s">
        <v>22</v>
      </c>
      <c r="D44" s="55">
        <v>70</v>
      </c>
      <c r="E44">
        <v>1.5E-3</v>
      </c>
      <c r="F44" s="63">
        <f>G44*E44</f>
        <v>0.38237880226651944</v>
      </c>
      <c r="G44" s="64">
        <f>10^H44</f>
        <v>254.91920151101294</v>
      </c>
      <c r="H44" s="64">
        <f>0.5513*E28+1.3892</f>
        <v>2.4064025494598598</v>
      </c>
    </row>
    <row r="45" spans="3:8" x14ac:dyDescent="0.3">
      <c r="F45" s="65"/>
      <c r="G45" s="66"/>
      <c r="H45" s="58"/>
    </row>
    <row r="51" spans="7:11" x14ac:dyDescent="0.3">
      <c r="I51" s="35"/>
    </row>
    <row r="52" spans="7:11" x14ac:dyDescent="0.3">
      <c r="I52" s="35"/>
    </row>
    <row r="54" spans="7:11" x14ac:dyDescent="0.3">
      <c r="G54" s="42"/>
      <c r="I54" s="38"/>
      <c r="K54" s="42"/>
    </row>
    <row r="55" spans="7:11" x14ac:dyDescent="0.3">
      <c r="G55" s="2"/>
      <c r="I55" s="67"/>
      <c r="J55" s="68"/>
      <c r="K55" s="2"/>
    </row>
    <row r="56" spans="7:11" x14ac:dyDescent="0.3">
      <c r="G56" s="2"/>
      <c r="I56" s="69"/>
      <c r="J56" s="68"/>
      <c r="K56" s="2"/>
    </row>
    <row r="57" spans="7:11" x14ac:dyDescent="0.3">
      <c r="G57" s="2"/>
      <c r="I57" s="70"/>
      <c r="J57" s="71"/>
      <c r="K57" s="2"/>
    </row>
    <row r="58" spans="7:11" x14ac:dyDescent="0.3">
      <c r="G58" s="2"/>
      <c r="I58" s="69"/>
      <c r="J58" s="71"/>
      <c r="K58" s="2"/>
    </row>
    <row r="59" spans="7:11" x14ac:dyDescent="0.3">
      <c r="I59" s="72"/>
      <c r="K59" s="2"/>
    </row>
  </sheetData>
  <phoneticPr fontId="11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I3:Q24"/>
  <sheetViews>
    <sheetView workbookViewId="0">
      <selection activeCell="H46" sqref="H46"/>
    </sheetView>
  </sheetViews>
  <sheetFormatPr defaultColWidth="9" defaultRowHeight="14" x14ac:dyDescent="0.3"/>
  <cols>
    <col min="11" max="11" width="10.6640625" customWidth="1"/>
    <col min="12" max="12" width="13" customWidth="1"/>
  </cols>
  <sheetData>
    <row r="3" spans="9:17" x14ac:dyDescent="0.3">
      <c r="I3" s="16" t="s">
        <v>9</v>
      </c>
      <c r="J3" s="17" t="s">
        <v>10</v>
      </c>
      <c r="K3" s="17" t="s">
        <v>11</v>
      </c>
      <c r="L3" s="17" t="s">
        <v>12</v>
      </c>
      <c r="M3" s="18" t="s">
        <v>14</v>
      </c>
      <c r="N3" s="19" t="s">
        <v>7</v>
      </c>
      <c r="O3" s="17" t="s">
        <v>13</v>
      </c>
      <c r="Q3" s="16"/>
    </row>
    <row r="4" spans="9:17" x14ac:dyDescent="0.3">
      <c r="I4" s="16" t="s">
        <v>18</v>
      </c>
      <c r="J4" s="20">
        <v>2.5000000000000001E-2</v>
      </c>
      <c r="K4" s="21">
        <v>4.0000000000000002E-4</v>
      </c>
      <c r="L4" s="22">
        <v>2.93415723047175</v>
      </c>
      <c r="M4" s="23">
        <v>5.9999999999999995E-4</v>
      </c>
      <c r="N4" s="24">
        <v>9.4499999999999998E-4</v>
      </c>
      <c r="O4" s="25">
        <v>2.2499999999999998E-3</v>
      </c>
      <c r="Q4" s="16"/>
    </row>
    <row r="5" spans="9:17" x14ac:dyDescent="0.3">
      <c r="I5" s="16" t="s">
        <v>19</v>
      </c>
      <c r="J5" s="20">
        <v>0.3</v>
      </c>
      <c r="K5" s="20">
        <v>1.8E-3</v>
      </c>
      <c r="L5" s="22">
        <v>4.3662717370424202</v>
      </c>
      <c r="M5" s="26">
        <v>1.61E-2</v>
      </c>
      <c r="N5" s="27">
        <v>0.16434000000000001</v>
      </c>
      <c r="O5" s="28">
        <v>0.15</v>
      </c>
      <c r="Q5" s="16"/>
    </row>
    <row r="6" spans="9:17" x14ac:dyDescent="0.3">
      <c r="I6" s="16" t="s">
        <v>20</v>
      </c>
      <c r="J6" s="20">
        <v>10</v>
      </c>
      <c r="K6" s="20">
        <v>0.08</v>
      </c>
      <c r="L6" s="22">
        <v>22.155163610329499</v>
      </c>
      <c r="M6" s="29">
        <v>0.14499999999999999</v>
      </c>
      <c r="N6" s="27">
        <v>11.88</v>
      </c>
      <c r="O6" s="28">
        <v>12.2</v>
      </c>
      <c r="Q6" s="16"/>
    </row>
    <row r="7" spans="9:17" x14ac:dyDescent="0.3">
      <c r="I7" s="16" t="s">
        <v>21</v>
      </c>
      <c r="J7" s="20">
        <v>5</v>
      </c>
      <c r="K7" s="20">
        <v>0.09</v>
      </c>
      <c r="L7" s="22">
        <v>27.908706908950698</v>
      </c>
      <c r="M7" s="1">
        <v>7.0000000000000001E-3</v>
      </c>
      <c r="N7" s="30">
        <v>0.46500000000000002</v>
      </c>
      <c r="O7" s="28">
        <v>0.5</v>
      </c>
      <c r="Q7" s="16"/>
    </row>
    <row r="8" spans="9:17" x14ac:dyDescent="0.3">
      <c r="I8" s="31" t="s">
        <v>22</v>
      </c>
      <c r="J8" s="32">
        <v>70</v>
      </c>
      <c r="K8" s="32">
        <v>1.4</v>
      </c>
      <c r="L8" s="33">
        <v>88.287679349766904</v>
      </c>
      <c r="M8" s="1">
        <v>1.5E-3</v>
      </c>
      <c r="Q8" s="31"/>
    </row>
    <row r="9" spans="9:17" x14ac:dyDescent="0.3">
      <c r="L9" t="s">
        <v>35</v>
      </c>
      <c r="M9">
        <f>M4/M8</f>
        <v>0.39999999999999997</v>
      </c>
    </row>
    <row r="10" spans="9:17" x14ac:dyDescent="0.3">
      <c r="L10" t="s">
        <v>36</v>
      </c>
      <c r="M10" s="34">
        <f>M5/M8</f>
        <v>10.733333333333333</v>
      </c>
    </row>
    <row r="11" spans="9:17" x14ac:dyDescent="0.3">
      <c r="L11" t="s">
        <v>37</v>
      </c>
      <c r="M11">
        <f>M6/M8</f>
        <v>96.666666666666657</v>
      </c>
    </row>
    <row r="12" spans="9:17" x14ac:dyDescent="0.3">
      <c r="L12" t="s">
        <v>38</v>
      </c>
      <c r="M12">
        <f>M7/M8</f>
        <v>4.666666666666667</v>
      </c>
    </row>
    <row r="13" spans="9:17" x14ac:dyDescent="0.3">
      <c r="I13" s="35"/>
      <c r="J13" s="35" t="s">
        <v>23</v>
      </c>
      <c r="K13" s="35" t="s">
        <v>24</v>
      </c>
    </row>
    <row r="14" spans="9:17" x14ac:dyDescent="0.3">
      <c r="I14" s="16" t="s">
        <v>18</v>
      </c>
      <c r="J14" s="36">
        <f>LOG(J4)</f>
        <v>-1.6020599913279623</v>
      </c>
      <c r="K14" s="37">
        <f>LOG(N4)</f>
        <v>-3.024568191490737</v>
      </c>
    </row>
    <row r="15" spans="9:17" x14ac:dyDescent="0.3">
      <c r="I15" s="16" t="s">
        <v>19</v>
      </c>
      <c r="J15" s="36">
        <f t="shared" ref="J15:J18" si="0">LOG(J5)</f>
        <v>-0.52287874528033762</v>
      </c>
      <c r="K15" s="37">
        <f t="shared" ref="K15:K17" si="1">LOG(N5)</f>
        <v>-0.78425671736239499</v>
      </c>
    </row>
    <row r="16" spans="9:17" x14ac:dyDescent="0.3">
      <c r="I16" s="16" t="s">
        <v>20</v>
      </c>
      <c r="J16" s="36">
        <f t="shared" si="0"/>
        <v>1</v>
      </c>
      <c r="K16" s="37">
        <f t="shared" si="1"/>
        <v>1.0748164406451748</v>
      </c>
    </row>
    <row r="17" spans="9:11" x14ac:dyDescent="0.3">
      <c r="I17" s="16" t="s">
        <v>21</v>
      </c>
      <c r="J17" s="36">
        <f t="shared" si="0"/>
        <v>0.69897000433601886</v>
      </c>
      <c r="K17" s="37">
        <f t="shared" si="1"/>
        <v>-0.33254704711004607</v>
      </c>
    </row>
    <row r="18" spans="9:11" x14ac:dyDescent="0.3">
      <c r="I18" s="35"/>
      <c r="J18" s="36">
        <f t="shared" si="0"/>
        <v>1.8450980400142569</v>
      </c>
      <c r="K18" s="35"/>
    </row>
    <row r="19" spans="9:11" x14ac:dyDescent="0.3">
      <c r="J19" s="38" t="s">
        <v>39</v>
      </c>
      <c r="K19" s="37">
        <f>10^(-0.6231)</f>
        <v>0.23817709831782291</v>
      </c>
    </row>
    <row r="20" spans="9:11" x14ac:dyDescent="0.3">
      <c r="I20" s="31" t="s">
        <v>40</v>
      </c>
      <c r="K20" s="39">
        <f>33.35*(K19/M9)^0.77</f>
        <v>22.372918723545872</v>
      </c>
    </row>
    <row r="21" spans="9:11" x14ac:dyDescent="0.3">
      <c r="I21" t="s">
        <v>41</v>
      </c>
      <c r="J21" t="s">
        <v>42</v>
      </c>
      <c r="K21" s="39">
        <f>33.35*(K19/M10)^0.77</f>
        <v>1.7768189737700604</v>
      </c>
    </row>
    <row r="22" spans="9:11" x14ac:dyDescent="0.3">
      <c r="I22" t="s">
        <v>43</v>
      </c>
      <c r="K22" s="39">
        <f>33.35*(K19/M11)^0.77</f>
        <v>0.32707379195527786</v>
      </c>
    </row>
    <row r="23" spans="9:11" x14ac:dyDescent="0.3">
      <c r="K23" s="39">
        <f>33.35*(K19/M12)^0.77</f>
        <v>3.3742217219219288</v>
      </c>
    </row>
    <row r="24" spans="9:11" x14ac:dyDescent="0.3">
      <c r="K24" s="40"/>
    </row>
  </sheetData>
  <phoneticPr fontId="11" type="noConversion"/>
  <pageMargins left="0.7" right="0.7" top="0.75" bottom="0.75" header="0.3" footer="0.3"/>
  <headerFooter>
    <oddHeader>&amp;L&amp;"Calibri"&amp;10&amp;K008000 Insilico Medicine Restricted (Level 3)&amp;1#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H12"/>
  <sheetViews>
    <sheetView workbookViewId="0">
      <selection activeCell="H46" sqref="H46"/>
    </sheetView>
  </sheetViews>
  <sheetFormatPr defaultColWidth="9" defaultRowHeight="14" x14ac:dyDescent="0.3"/>
  <cols>
    <col min="7" max="7" width="13.33203125" customWidth="1"/>
  </cols>
  <sheetData>
    <row r="3" spans="3:8" x14ac:dyDescent="0.3">
      <c r="H3" t="s">
        <v>44</v>
      </c>
    </row>
    <row r="4" spans="3:8" x14ac:dyDescent="0.3">
      <c r="C4" s="1"/>
      <c r="D4" s="100" t="s">
        <v>45</v>
      </c>
      <c r="E4" s="101"/>
      <c r="F4" s="102"/>
      <c r="G4" s="2" t="s">
        <v>46</v>
      </c>
    </row>
    <row r="5" spans="3:8" x14ac:dyDescent="0.3">
      <c r="C5" s="3" t="s">
        <v>0</v>
      </c>
      <c r="D5" s="4"/>
      <c r="E5" s="5"/>
      <c r="F5" s="6"/>
    </row>
    <row r="6" spans="3:8" x14ac:dyDescent="0.3">
      <c r="C6" s="7" t="s">
        <v>2</v>
      </c>
      <c r="D6" s="8"/>
      <c r="F6" s="9">
        <v>47.08</v>
      </c>
      <c r="G6" s="10">
        <v>0.2</v>
      </c>
      <c r="H6">
        <v>0.06</v>
      </c>
    </row>
    <row r="7" spans="3:8" x14ac:dyDescent="0.3">
      <c r="C7" s="7" t="s">
        <v>3</v>
      </c>
      <c r="D7" s="11"/>
      <c r="F7" s="9">
        <v>65.290000000000006</v>
      </c>
      <c r="G7" s="2">
        <v>1.3</v>
      </c>
      <c r="H7">
        <v>1.61</v>
      </c>
    </row>
    <row r="8" spans="3:8" x14ac:dyDescent="0.3">
      <c r="C8" s="7" t="s">
        <v>4</v>
      </c>
      <c r="D8" s="11"/>
      <c r="F8" s="9">
        <v>65.2</v>
      </c>
      <c r="G8" s="2">
        <v>14.5</v>
      </c>
    </row>
    <row r="9" spans="3:8" x14ac:dyDescent="0.3">
      <c r="C9" s="7" t="s">
        <v>5</v>
      </c>
      <c r="D9" s="11"/>
      <c r="F9" s="9">
        <v>88.9</v>
      </c>
      <c r="G9" s="2">
        <v>1.5</v>
      </c>
      <c r="H9">
        <v>0.7</v>
      </c>
    </row>
    <row r="10" spans="3:8" x14ac:dyDescent="0.3">
      <c r="C10" s="12" t="s">
        <v>1</v>
      </c>
      <c r="D10" s="13"/>
      <c r="E10" s="14"/>
      <c r="F10" s="15"/>
      <c r="G10" s="10">
        <v>0.1</v>
      </c>
      <c r="H10">
        <v>0.15</v>
      </c>
    </row>
    <row r="12" spans="3:8" x14ac:dyDescent="0.3">
      <c r="F12">
        <f>AVERAGE(F6:F9)</f>
        <v>66.617500000000007</v>
      </c>
    </row>
  </sheetData>
  <mergeCells count="1">
    <mergeCell ref="D4:F4"/>
  </mergeCells>
  <phoneticPr fontId="11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Allometry-CL</vt:lpstr>
      <vt:lpstr>Vdss_Allometry</vt:lpstr>
      <vt:lpstr>FICM R-H</vt:lpstr>
      <vt:lpstr>F%_Average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Luoheng Qin</dc:creator>
  <cp:lastModifiedBy>Rubin Tian</cp:lastModifiedBy>
  <dcterms:created xsi:type="dcterms:W3CDTF">2021-11-09T08:12:00Z</dcterms:created>
  <dcterms:modified xsi:type="dcterms:W3CDTF">2025-03-07T02:17:58Z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d8aa3e-aa35-4f2e-95f3-05374d5d1622_Enabled">
    <vt:lpwstr>true</vt:lpwstr>
  </property>
  <property fmtid="{D5CDD505-2E9C-101B-9397-08002B2CF9AE}" pid="3" name="MSIP_Label_47d8aa3e-aa35-4f2e-95f3-05374d5d1622_SetDate">
    <vt:lpwstr>2023-07-14T08:02:33Z</vt:lpwstr>
  </property>
  <property fmtid="{D5CDD505-2E9C-101B-9397-08002B2CF9AE}" pid="4" name="MSIP_Label_47d8aa3e-aa35-4f2e-95f3-05374d5d1622_Method">
    <vt:lpwstr>Standard</vt:lpwstr>
  </property>
  <property fmtid="{D5CDD505-2E9C-101B-9397-08002B2CF9AE}" pid="5" name="MSIP_Label_47d8aa3e-aa35-4f2e-95f3-05374d5d1622_Name">
    <vt:lpwstr>Confidential</vt:lpwstr>
  </property>
  <property fmtid="{D5CDD505-2E9C-101B-9397-08002B2CF9AE}" pid="6" name="MSIP_Label_47d8aa3e-aa35-4f2e-95f3-05374d5d1622_SiteId">
    <vt:lpwstr>882652e7-2223-403f-b7b3-1d36a88454da</vt:lpwstr>
  </property>
  <property fmtid="{D5CDD505-2E9C-101B-9397-08002B2CF9AE}" pid="7" name="MSIP_Label_47d8aa3e-aa35-4f2e-95f3-05374d5d1622_ActionId">
    <vt:lpwstr>ee2a120a-f899-4aa0-a3a3-aa1737eec04c</vt:lpwstr>
  </property>
  <property fmtid="{D5CDD505-2E9C-101B-9397-08002B2CF9AE}" pid="8" name="MSIP_Label_47d8aa3e-aa35-4f2e-95f3-05374d5d1622_ContentBits">
    <vt:lpwstr>1</vt:lpwstr>
  </property>
  <property fmtid="{D5CDD505-2E9C-101B-9397-08002B2CF9AE}" pid="9" name="MSIP_Label_6d5b1bb8-d80b-4ae7-b5f3-1fb67b3d0d01_Enabled">
    <vt:lpwstr>true</vt:lpwstr>
  </property>
  <property fmtid="{D5CDD505-2E9C-101B-9397-08002B2CF9AE}" pid="10" name="MSIP_Label_6d5b1bb8-d80b-4ae7-b5f3-1fb67b3d0d01_SetDate">
    <vt:lpwstr>2024-12-26T02:08:16Z</vt:lpwstr>
  </property>
  <property fmtid="{D5CDD505-2E9C-101B-9397-08002B2CF9AE}" pid="11" name="MSIP_Label_6d5b1bb8-d80b-4ae7-b5f3-1fb67b3d0d01_Method">
    <vt:lpwstr>Standard</vt:lpwstr>
  </property>
  <property fmtid="{D5CDD505-2E9C-101B-9397-08002B2CF9AE}" pid="12" name="MSIP_Label_6d5b1bb8-d80b-4ae7-b5f3-1fb67b3d0d01_Name">
    <vt:lpwstr>Confidential</vt:lpwstr>
  </property>
  <property fmtid="{D5CDD505-2E9C-101B-9397-08002B2CF9AE}" pid="13" name="MSIP_Label_6d5b1bb8-d80b-4ae7-b5f3-1fb67b3d0d01_SiteId">
    <vt:lpwstr>61720e46-9102-4f4f-8a6e-c127317411a8</vt:lpwstr>
  </property>
  <property fmtid="{D5CDD505-2E9C-101B-9397-08002B2CF9AE}" pid="14" name="MSIP_Label_6d5b1bb8-d80b-4ae7-b5f3-1fb67b3d0d01_ActionId">
    <vt:lpwstr>ad2c7a9b-eff5-425b-a15b-42e0f3d90aa0</vt:lpwstr>
  </property>
  <property fmtid="{D5CDD505-2E9C-101B-9397-08002B2CF9AE}" pid="15" name="MSIP_Label_6d5b1bb8-d80b-4ae7-b5f3-1fb67b3d0d01_ContentBits">
    <vt:lpwstr>1</vt:lpwstr>
  </property>
  <property fmtid="{D5CDD505-2E9C-101B-9397-08002B2CF9AE}" pid="16" name="ICV">
    <vt:lpwstr>D3B67823619D4B00B4FAC2BED08D7D54_13</vt:lpwstr>
  </property>
  <property fmtid="{D5CDD505-2E9C-101B-9397-08002B2CF9AE}" pid="17" name="KSOProductBuildVer">
    <vt:lpwstr>2052-11.1.0.14309</vt:lpwstr>
  </property>
</Properties>
</file>